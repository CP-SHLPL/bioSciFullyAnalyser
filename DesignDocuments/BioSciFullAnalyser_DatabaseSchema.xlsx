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oSciFullyAnalyser\DesignDocuments\"/>
    </mc:Choice>
  </mc:AlternateContent>
  <xr:revisionPtr revIDLastSave="0" documentId="13_ncr:1_{9435C9E3-2735-4F1D-93CC-161D577ABAD2}" xr6:coauthVersionLast="47" xr6:coauthVersionMax="47" xr10:uidLastSave="{00000000-0000-0000-0000-000000000000}"/>
  <bookViews>
    <workbookView xWindow="-108" yWindow="-108" windowWidth="23256" windowHeight="13176" tabRatio="851" firstSheet="9" activeTab="17" xr2:uid="{85180E46-3C0A-4E7A-852B-7746CB5E32EB}"/>
  </bookViews>
  <sheets>
    <sheet name="TblUser" sheetId="1" r:id="rId1"/>
    <sheet name="TblDictionary" sheetId="2" r:id="rId2"/>
    <sheet name="TblDictionaryValues" sheetId="3" r:id="rId3"/>
    <sheet name="TblUnit" sheetId="5" r:id="rId4"/>
    <sheet name="TblUnitConversion" sheetId="4" r:id="rId5"/>
    <sheet name="TblTest" sheetId="6" r:id="rId6"/>
    <sheet name="TblTestDetails" sheetId="7" r:id="rId7"/>
    <sheet name="TblStandard" sheetId="9" r:id="rId8"/>
    <sheet name="TblStandardDetails" sheetId="8" r:id="rId9"/>
    <sheet name="TblCalibration" sheetId="10" r:id="rId10"/>
    <sheet name="TblCalibrationDetail" sheetId="11" r:id="rId11"/>
    <sheet name="TblQCLotDetails" sheetId="12" r:id="rId12"/>
    <sheet name="TblQCLotTests" sheetId="14" r:id="rId13"/>
    <sheet name="TblQCRules" sheetId="15" r:id="rId14"/>
    <sheet name="TblReagentBottle" sheetId="17" r:id="rId15"/>
    <sheet name="TblReagentPosition" sheetId="16" r:id="rId16"/>
    <sheet name="TblPatient" sheetId="18" r:id="rId17"/>
    <sheet name="TblSample" sheetId="19" r:id="rId18"/>
    <sheet name="TblSchedule" sheetId="20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20" l="1"/>
  <c r="D7" i="20" s="1"/>
  <c r="D8" i="20" s="1"/>
  <c r="D9" i="20" s="1"/>
  <c r="D10" i="20" s="1"/>
  <c r="D11" i="20" s="1"/>
  <c r="D12" i="20" s="1"/>
  <c r="D13" i="20" s="1"/>
  <c r="D14" i="20" s="1"/>
  <c r="D15" i="20" s="1"/>
  <c r="D16" i="20" s="1"/>
  <c r="D17" i="20" s="1"/>
  <c r="D18" i="20" s="1"/>
  <c r="D19" i="20" s="1"/>
  <c r="D6" i="19"/>
  <c r="D7" i="19" s="1"/>
  <c r="D8" i="19" s="1"/>
  <c r="D9" i="19" s="1"/>
  <c r="D10" i="19" s="1"/>
  <c r="D6" i="18"/>
  <c r="D7" i="18" s="1"/>
  <c r="D8" i="18" s="1"/>
  <c r="D9" i="18" s="1"/>
  <c r="D10" i="18" s="1"/>
  <c r="D11" i="18" s="1"/>
  <c r="D16" i="18" s="1"/>
  <c r="D17" i="18" s="1"/>
  <c r="D18" i="18" s="1"/>
  <c r="D19" i="18" s="1"/>
  <c r="D11" i="16"/>
  <c r="D12" i="16"/>
  <c r="D13" i="16"/>
  <c r="D14" i="16"/>
  <c r="D15" i="16"/>
  <c r="D22" i="17"/>
  <c r="D23" i="17"/>
  <c r="D24" i="17" s="1"/>
  <c r="D25" i="17" s="1"/>
  <c r="D26" i="17" s="1"/>
  <c r="D6" i="16"/>
  <c r="D7" i="16" s="1"/>
  <c r="D8" i="16" s="1"/>
  <c r="D9" i="16" s="1"/>
  <c r="D10" i="16" s="1"/>
  <c r="D6" i="17"/>
  <c r="D7" i="17" s="1"/>
  <c r="D8" i="17" s="1"/>
  <c r="D9" i="17" s="1"/>
  <c r="D10" i="17" s="1"/>
  <c r="D11" i="17" s="1"/>
  <c r="D12" i="17" s="1"/>
  <c r="D13" i="17" s="1"/>
  <c r="D7" i="15"/>
  <c r="D8" i="15" s="1"/>
  <c r="D9" i="15" s="1"/>
  <c r="D10" i="15" s="1"/>
  <c r="D11" i="15" s="1"/>
  <c r="D6" i="15"/>
  <c r="D14" i="14"/>
  <c r="D15" i="14"/>
  <c r="D16" i="14"/>
  <c r="D17" i="14"/>
  <c r="D18" i="14"/>
  <c r="D7" i="12"/>
  <c r="D8" i="12"/>
  <c r="D9" i="12"/>
  <c r="D10" i="12"/>
  <c r="D11" i="12"/>
  <c r="D12" i="12"/>
  <c r="D13" i="12"/>
  <c r="D14" i="12"/>
  <c r="D6" i="12"/>
  <c r="D10" i="4"/>
  <c r="D11" i="4" s="1"/>
  <c r="D12" i="4" s="1"/>
  <c r="D13" i="4" s="1"/>
  <c r="D14" i="4" s="1"/>
  <c r="D6" i="14"/>
  <c r="D7" i="14" s="1"/>
  <c r="D8" i="14" s="1"/>
  <c r="D9" i="14" s="1"/>
  <c r="D10" i="14" s="1"/>
  <c r="D11" i="14" s="1"/>
  <c r="D12" i="14" s="1"/>
  <c r="D13" i="14" s="1"/>
  <c r="D7" i="11"/>
  <c r="D8" i="11"/>
  <c r="D9" i="11"/>
  <c r="D10" i="11"/>
  <c r="D11" i="11"/>
  <c r="D12" i="11"/>
  <c r="D13" i="11"/>
  <c r="D14" i="11"/>
  <c r="D15" i="11"/>
  <c r="D16" i="11"/>
  <c r="D17" i="11"/>
  <c r="D18" i="11"/>
  <c r="D6" i="11"/>
  <c r="D7" i="10"/>
  <c r="D8" i="10"/>
  <c r="D9" i="10" s="1"/>
  <c r="D10" i="10" s="1"/>
  <c r="D11" i="10" s="1"/>
  <c r="D12" i="10" s="1"/>
  <c r="D13" i="10" s="1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6" i="10"/>
  <c r="D11" i="8"/>
  <c r="D12" i="8"/>
  <c r="D13" i="8" s="1"/>
  <c r="D14" i="8" s="1"/>
  <c r="D6" i="9"/>
  <c r="D7" i="9" s="1"/>
  <c r="D8" i="9" s="1"/>
  <c r="D9" i="9" s="1"/>
  <c r="D10" i="9" s="1"/>
  <c r="D11" i="9" s="1"/>
  <c r="D12" i="9" s="1"/>
  <c r="D13" i="9" s="1"/>
  <c r="D14" i="9" s="1"/>
  <c r="D15" i="9" s="1"/>
  <c r="D16" i="9" s="1"/>
  <c r="D17" i="9" s="1"/>
  <c r="D18" i="9" s="1"/>
  <c r="D6" i="8"/>
  <c r="D7" i="8" s="1"/>
  <c r="D8" i="8" s="1"/>
  <c r="D9" i="8" s="1"/>
  <c r="D10" i="8" s="1"/>
  <c r="D29" i="7"/>
  <c r="D30" i="7" s="1"/>
  <c r="D31" i="7" s="1"/>
  <c r="D32" i="7" s="1"/>
  <c r="D28" i="7"/>
  <c r="D27" i="7"/>
  <c r="D26" i="7"/>
  <c r="D25" i="7"/>
  <c r="D24" i="7"/>
  <c r="D23" i="7"/>
  <c r="D22" i="7"/>
  <c r="D21" i="7"/>
  <c r="D11" i="7"/>
  <c r="D12" i="7" s="1"/>
  <c r="D13" i="7" s="1"/>
  <c r="D14" i="7" s="1"/>
  <c r="D15" i="7" s="1"/>
  <c r="D16" i="7" s="1"/>
  <c r="D17" i="7" s="1"/>
  <c r="D18" i="7" s="1"/>
  <c r="D19" i="7" s="1"/>
  <c r="D20" i="7" s="1"/>
  <c r="D6" i="7"/>
  <c r="D7" i="7" s="1"/>
  <c r="D8" i="7" s="1"/>
  <c r="D9" i="7" s="1"/>
  <c r="D6" i="6"/>
  <c r="D7" i="6" s="1"/>
  <c r="D8" i="6" s="1"/>
  <c r="D9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6" i="4"/>
  <c r="D7" i="4" s="1"/>
  <c r="D8" i="4" s="1"/>
  <c r="D9" i="4" s="1"/>
  <c r="D7" i="5"/>
  <c r="D8" i="5" s="1"/>
  <c r="D6" i="5"/>
  <c r="D6" i="3"/>
  <c r="D7" i="3" s="1"/>
  <c r="D8" i="3" s="1"/>
  <c r="D10" i="3" s="1"/>
  <c r="D11" i="3" s="1"/>
  <c r="D12" i="3" s="1"/>
  <c r="D13" i="3" s="1"/>
  <c r="D14" i="3" s="1"/>
  <c r="D6" i="2"/>
  <c r="D7" i="2"/>
  <c r="D8" i="2"/>
  <c r="D9" i="2" s="1"/>
  <c r="D10" i="2" s="1"/>
  <c r="D11" i="2" s="1"/>
  <c r="D12" i="2" s="1"/>
  <c r="D13" i="2" s="1"/>
  <c r="C13" i="1"/>
  <c r="C12" i="1"/>
  <c r="C11" i="1"/>
  <c r="C10" i="1"/>
  <c r="C9" i="1"/>
  <c r="C8" i="1"/>
  <c r="C7" i="1"/>
  <c r="C6" i="1"/>
  <c r="D11" i="19" l="1"/>
  <c r="D12" i="19" s="1"/>
  <c r="D13" i="19" s="1"/>
  <c r="D14" i="19" s="1"/>
  <c r="D12" i="18"/>
  <c r="D13" i="18" s="1"/>
  <c r="D14" i="18" s="1"/>
  <c r="D15" i="18" s="1"/>
  <c r="D14" i="17"/>
  <c r="D15" i="17" s="1"/>
  <c r="D16" i="17" s="1"/>
  <c r="D17" i="17" s="1"/>
  <c r="D18" i="17" s="1"/>
  <c r="D19" i="17" s="1"/>
  <c r="D20" i="17" s="1"/>
  <c r="D21" i="17" s="1"/>
  <c r="D10" i="6"/>
  <c r="D9" i="5"/>
  <c r="D10" i="5" s="1"/>
  <c r="D11" i="5" s="1"/>
  <c r="D12" i="5" s="1"/>
  <c r="D13" i="5" s="1"/>
  <c r="D10" i="7"/>
  <c r="D9" i="3"/>
  <c r="D15" i="19" l="1"/>
  <c r="D16" i="19" s="1"/>
  <c r="D17" i="19" s="1"/>
  <c r="D18" i="19" s="1"/>
  <c r="D19" i="19" s="1"/>
  <c r="D20" i="19" s="1"/>
  <c r="D21" i="19" s="1"/>
  <c r="D22" i="19" s="1"/>
  <c r="D23" i="19" s="1"/>
  <c r="D24" i="19"/>
  <c r="D25" i="19" s="1"/>
  <c r="D26" i="19" s="1"/>
  <c r="D27" i="19" s="1"/>
  <c r="D28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tc={0A69C8AC-F771-4895-A892-43156EC7A5F5}</author>
  </authors>
  <commentList>
    <comment ref="D12" authorId="0" shapeId="0" xr:uid="{0A69C8AC-F771-4895-A892-43156EC7A5F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 to discuss whether to implement a modified by in the same table or create a new userChangeLog table for audit history purposes. 
</t>
      </text>
    </comment>
  </commentList>
</comments>
</file>

<file path=xl/sharedStrings.xml><?xml version="1.0" encoding="utf-8"?>
<sst xmlns="http://schemas.openxmlformats.org/spreadsheetml/2006/main" count="1608" uniqueCount="361">
  <si>
    <t>TblUser</t>
  </si>
  <si>
    <t>SrNo.</t>
  </si>
  <si>
    <t>ColumnName</t>
  </si>
  <si>
    <t>ColumnType</t>
  </si>
  <si>
    <t>UserID</t>
  </si>
  <si>
    <t>int</t>
  </si>
  <si>
    <t>UserName</t>
  </si>
  <si>
    <t>varchar</t>
  </si>
  <si>
    <t>Max</t>
  </si>
  <si>
    <t>NotNull</t>
  </si>
  <si>
    <t>FK</t>
  </si>
  <si>
    <t>Index</t>
  </si>
  <si>
    <t>Description/Remark</t>
  </si>
  <si>
    <t>DefaultValues</t>
  </si>
  <si>
    <t>Key</t>
  </si>
  <si>
    <t>PrimaryKey</t>
  </si>
  <si>
    <t>-</t>
  </si>
  <si>
    <t>*</t>
  </si>
  <si>
    <t>Yes</t>
  </si>
  <si>
    <t xml:space="preserve">User ID </t>
  </si>
  <si>
    <t>AUTO_INCREMENT</t>
  </si>
  <si>
    <t>No</t>
  </si>
  <si>
    <t>User Name</t>
  </si>
  <si>
    <t>blank</t>
  </si>
  <si>
    <t>UserPasswordHash</t>
  </si>
  <si>
    <t>Password Hash usign Bcrypt</t>
  </si>
  <si>
    <t>Password Hint</t>
  </si>
  <si>
    <t>Nullable</t>
  </si>
  <si>
    <t>Password Hint - Display</t>
  </si>
  <si>
    <t>UserType</t>
  </si>
  <si>
    <t>ForeignKey</t>
  </si>
  <si>
    <t>User Type, For Access Control</t>
  </si>
  <si>
    <t>1(Admin)</t>
  </si>
  <si>
    <t>CreatedBy</t>
  </si>
  <si>
    <t>tblDirectoryDet(ItemValue)</t>
  </si>
  <si>
    <t>tblUser(UserID)</t>
  </si>
  <si>
    <t>Auditing</t>
  </si>
  <si>
    <t>CreatedAt</t>
  </si>
  <si>
    <t>DateTime</t>
  </si>
  <si>
    <t>ModifiedBy</t>
  </si>
  <si>
    <t>ModifiedAt</t>
  </si>
  <si>
    <t>DateTIme</t>
  </si>
  <si>
    <t>Insert Current Date Time.</t>
  </si>
  <si>
    <t>IsEditable</t>
  </si>
  <si>
    <t>IsActive</t>
  </si>
  <si>
    <t>bool</t>
  </si>
  <si>
    <t>DictionaryID</t>
  </si>
  <si>
    <t>Depends</t>
  </si>
  <si>
    <t>LastModifiedBy</t>
  </si>
  <si>
    <t>LastModifiedAt</t>
  </si>
  <si>
    <t>TblDictionaryTypes(This table will be part of default tables)</t>
  </si>
  <si>
    <t>DictionaryTypesID</t>
  </si>
  <si>
    <t>DictionaryTypesName</t>
  </si>
  <si>
    <t>DictionaryTypes Name</t>
  </si>
  <si>
    <t>DictionaryTypesDescription</t>
  </si>
  <si>
    <t>Description for DictionaryTypes</t>
  </si>
  <si>
    <t>Can user add to the items in this DictionaryTypes</t>
  </si>
  <si>
    <t>Is this DictionaryTypes Actively visible on screen</t>
  </si>
  <si>
    <t>TblDictionaryValues(This table will be part of default tables)</t>
  </si>
  <si>
    <t>DictionaryValuesID</t>
  </si>
  <si>
    <t>DictionaryValuesName</t>
  </si>
  <si>
    <t>DictionaryValues Name</t>
  </si>
  <si>
    <t>DictionaryValuesDescription</t>
  </si>
  <si>
    <t>Description for DictionaryValues</t>
  </si>
  <si>
    <t>DictionaryItemValue</t>
  </si>
  <si>
    <t>Value for Dictionary Item.</t>
  </si>
  <si>
    <t xml:space="preserve">Is active or deleted. </t>
  </si>
  <si>
    <t>TblUnit(This table will be part of default tables)</t>
  </si>
  <si>
    <t>UnitID</t>
  </si>
  <si>
    <t>UnitName</t>
  </si>
  <si>
    <t>Unit Name</t>
  </si>
  <si>
    <t>UnitDescription</t>
  </si>
  <si>
    <t>Description for Unit</t>
  </si>
  <si>
    <t>TblUnitConversion(This table will be part of default tables)</t>
  </si>
  <si>
    <t>UnitConversionID</t>
  </si>
  <si>
    <t>tblUnitMaster(UnitID)</t>
  </si>
  <si>
    <t>TblTest(This table will be part of default tables)</t>
  </si>
  <si>
    <t>IDTest</t>
  </si>
  <si>
    <t>TestCode</t>
  </si>
  <si>
    <t>TestName</t>
  </si>
  <si>
    <t>Unique</t>
  </si>
  <si>
    <t>isSpecialSolution</t>
  </si>
  <si>
    <t>CurveType</t>
  </si>
  <si>
    <t>Method</t>
  </si>
  <si>
    <t>Reagents</t>
  </si>
  <si>
    <t>Decimals</t>
  </si>
  <si>
    <t>BlankType</t>
  </si>
  <si>
    <t>TestSequence</t>
  </si>
  <si>
    <t>To note Special Solutions</t>
  </si>
  <si>
    <t>tblDictionary(DictionaryID)</t>
  </si>
  <si>
    <t>CurveType ID</t>
  </si>
  <si>
    <t>Method ID</t>
  </si>
  <si>
    <t>tblDictionaryValues(DictionaryItemValue)</t>
  </si>
  <si>
    <t>tblUnit(UnitID)</t>
  </si>
  <si>
    <t>Decimals in the final result</t>
  </si>
  <si>
    <t>No of Reagents</t>
  </si>
  <si>
    <t>Blanking type-No,Reagent,Sample</t>
  </si>
  <si>
    <t>Methods</t>
  </si>
  <si>
    <t xml:space="preserve">Name </t>
  </si>
  <si>
    <t>ID</t>
  </si>
  <si>
    <t>End Point</t>
  </si>
  <si>
    <t>Fixed Time</t>
  </si>
  <si>
    <t>Kinetic</t>
  </si>
  <si>
    <t>Curve Types</t>
  </si>
  <si>
    <t>Name</t>
  </si>
  <si>
    <t>Kfactor</t>
  </si>
  <si>
    <t>One-Point</t>
  </si>
  <si>
    <t>Two-point</t>
  </si>
  <si>
    <t>Multi-point Linear</t>
  </si>
  <si>
    <t>Parabola</t>
  </si>
  <si>
    <t>Polynomial</t>
  </si>
  <si>
    <t>Exponential</t>
  </si>
  <si>
    <t>Spline</t>
  </si>
  <si>
    <t>LogitLog 4P</t>
  </si>
  <si>
    <t>LogitLog 5P</t>
  </si>
  <si>
    <t>Filters</t>
  </si>
  <si>
    <t xml:space="preserve"> </t>
  </si>
  <si>
    <t>Blanking Type</t>
  </si>
  <si>
    <t>No Blank</t>
  </si>
  <si>
    <t>Reagent Blank</t>
  </si>
  <si>
    <t>Sample Blank</t>
  </si>
  <si>
    <t>R1 Short</t>
  </si>
  <si>
    <t>R2 Short</t>
  </si>
  <si>
    <t>SMP Short</t>
  </si>
  <si>
    <t>&gt;LIN</t>
  </si>
  <si>
    <t>AD</t>
  </si>
  <si>
    <t>RB</t>
  </si>
  <si>
    <t>PD</t>
  </si>
  <si>
    <t>OD*</t>
  </si>
  <si>
    <t>High</t>
  </si>
  <si>
    <t>Low</t>
  </si>
  <si>
    <t>RBL</t>
  </si>
  <si>
    <t>RBH</t>
  </si>
  <si>
    <t>HOD</t>
  </si>
  <si>
    <t>VOD</t>
  </si>
  <si>
    <t>PL</t>
  </si>
  <si>
    <t>N/A</t>
  </si>
  <si>
    <t>Flags</t>
  </si>
  <si>
    <t>TblTestDetails(This table will be part of default tables)</t>
  </si>
  <si>
    <t>IDTestDetails</t>
  </si>
  <si>
    <t>Test ID</t>
  </si>
  <si>
    <t>Test Name</t>
  </si>
  <si>
    <t>PrimaryFilter</t>
  </si>
  <si>
    <t>SecondaryFilter</t>
  </si>
  <si>
    <t>None</t>
  </si>
  <si>
    <t>Linearity</t>
  </si>
  <si>
    <t>SubstrateDepletion</t>
  </si>
  <si>
    <t>DelayedR2</t>
  </si>
  <si>
    <t>IncubationTime</t>
  </si>
  <si>
    <t>ReadingTime</t>
  </si>
  <si>
    <t>CorelationA</t>
  </si>
  <si>
    <t>CorelationB</t>
  </si>
  <si>
    <t>R1Volume</t>
  </si>
  <si>
    <t>R2Volume</t>
  </si>
  <si>
    <t>OutPreparationSample</t>
  </si>
  <si>
    <t>OutPreparationVolume</t>
  </si>
  <si>
    <t>SampleVolumeNormal</t>
  </si>
  <si>
    <t>SampleVolumeInc</t>
  </si>
  <si>
    <t>SampleVolumeDec</t>
  </si>
  <si>
    <t>AutoDilutionRatio</t>
  </si>
  <si>
    <t>StirrerSpeedR1</t>
  </si>
  <si>
    <t>StirrerSpeedR2</t>
  </si>
  <si>
    <t>CurrentReagentBlank</t>
  </si>
  <si>
    <t>LowReagentBlank</t>
  </si>
  <si>
    <t>HighReagentBlank</t>
  </si>
  <si>
    <t>TblTest(IDTest)</t>
  </si>
  <si>
    <t>Primary Filter for Test</t>
  </si>
  <si>
    <t>Secondary Filter for Test</t>
  </si>
  <si>
    <t>Delayed for Test</t>
  </si>
  <si>
    <t>Out Preparation Sample for Test</t>
  </si>
  <si>
    <t>Linearity for Test</t>
  </si>
  <si>
    <t>Substrate Depletion for Test</t>
  </si>
  <si>
    <t>Incubation Time for Test</t>
  </si>
  <si>
    <t>Reading Time for Test</t>
  </si>
  <si>
    <t>Corelation for Test</t>
  </si>
  <si>
    <t>R1Volume for Test</t>
  </si>
  <si>
    <t>R2Volume for Test</t>
  </si>
  <si>
    <t>Out Preparation Volume for Test</t>
  </si>
  <si>
    <t>Sample Volume Normal for Test</t>
  </si>
  <si>
    <t>Sample Volume Inc for Test</t>
  </si>
  <si>
    <t>Sample Volume Dec for Test</t>
  </si>
  <si>
    <t>Auto Dilution Ratio for Test</t>
  </si>
  <si>
    <t>Stirrer Speed for Test</t>
  </si>
  <si>
    <t>Current Reagent Blank for Test</t>
  </si>
  <si>
    <t>Low Reagent Blank for Test</t>
  </si>
  <si>
    <t>High Reagent Blank for Test</t>
  </si>
  <si>
    <t xml:space="preserve">int </t>
  </si>
  <si>
    <t>double</t>
  </si>
  <si>
    <t xml:space="preserve">double </t>
  </si>
  <si>
    <t>40. &gt;40 should be squares</t>
  </si>
  <si>
    <t>Stirrer Speed</t>
  </si>
  <si>
    <t>Mediume</t>
  </si>
  <si>
    <t>TblCalibration</t>
  </si>
  <si>
    <t>IDCalibration</t>
  </si>
  <si>
    <t>StandardLotNo</t>
  </si>
  <si>
    <t>StandardCount</t>
  </si>
  <si>
    <t>ExpiryDate</t>
  </si>
  <si>
    <t>ContainerType</t>
  </si>
  <si>
    <t>DilutionRatio</t>
  </si>
  <si>
    <t>Standard Lot Number</t>
  </si>
  <si>
    <t>Expiry for this Lot</t>
  </si>
  <si>
    <t>IsExpired</t>
  </si>
  <si>
    <t>Curve Type</t>
  </si>
  <si>
    <t>Container Type</t>
  </si>
  <si>
    <t>Standard Count</t>
  </si>
  <si>
    <t>Expired?</t>
  </si>
  <si>
    <t>Active?</t>
  </si>
  <si>
    <t>CurrentDate + 1 month</t>
  </si>
  <si>
    <t>IDStandard</t>
  </si>
  <si>
    <t>TblStandard</t>
  </si>
  <si>
    <t>StandardNumber</t>
  </si>
  <si>
    <t>StandardConc</t>
  </si>
  <si>
    <t>StandardOD</t>
  </si>
  <si>
    <t>StandardPosition</t>
  </si>
  <si>
    <t>tblTest(IDTest)</t>
  </si>
  <si>
    <t>tblStandard(IDStandard)</t>
  </si>
  <si>
    <t>Standard ID</t>
  </si>
  <si>
    <t>Number of Standard</t>
  </si>
  <si>
    <t>Standard Position</t>
  </si>
  <si>
    <t>Standard Concentration</t>
  </si>
  <si>
    <t>TblStandardDetails</t>
  </si>
  <si>
    <t>CuvetteNumber</t>
  </si>
  <si>
    <t>ResultID</t>
  </si>
  <si>
    <t>IDStandardDetail</t>
  </si>
  <si>
    <t>IsValid</t>
  </si>
  <si>
    <t>RoFactor</t>
  </si>
  <si>
    <t>CalibrationDate</t>
  </si>
  <si>
    <t>CalibrationID</t>
  </si>
  <si>
    <t>Calibration Date</t>
  </si>
  <si>
    <t>Expiry Date</t>
  </si>
  <si>
    <t>K Factor</t>
  </si>
  <si>
    <t>A Factor</t>
  </si>
  <si>
    <t>AFactor</t>
  </si>
  <si>
    <t>KFactor</t>
  </si>
  <si>
    <t>BFactor</t>
  </si>
  <si>
    <t>CFactor</t>
  </si>
  <si>
    <t>DFactor</t>
  </si>
  <si>
    <t>TblCalibrationDetail</t>
  </si>
  <si>
    <t>IDCalibrationDetail</t>
  </si>
  <si>
    <t>TblQCLotDetails</t>
  </si>
  <si>
    <t>QCLotNo</t>
  </si>
  <si>
    <t>TblQCLotTests</t>
  </si>
  <si>
    <t>IDQCLotTests</t>
  </si>
  <si>
    <t>IDQCLotDetails</t>
  </si>
  <si>
    <t>tblQCLotDetails(IDQCLotDetails)</t>
  </si>
  <si>
    <t>isConventional</t>
  </si>
  <si>
    <t xml:space="preserve">Is Conventional or SI. </t>
  </si>
  <si>
    <t>Factor by which we can multiply/divide for conversion</t>
  </si>
  <si>
    <t>MeanValue</t>
  </si>
  <si>
    <t>SDValue</t>
  </si>
  <si>
    <t>1SDRange</t>
  </si>
  <si>
    <t>2SDRange</t>
  </si>
  <si>
    <t>3SDRange</t>
  </si>
  <si>
    <t>QCLevel</t>
  </si>
  <si>
    <t>tblUnit(IdUnit)</t>
  </si>
  <si>
    <t>Unit</t>
  </si>
  <si>
    <t>ConventionalUnitID</t>
  </si>
  <si>
    <t>SIUnitID</t>
  </si>
  <si>
    <t>ConvToSIFactor</t>
  </si>
  <si>
    <t>SIToConvFactor</t>
  </si>
  <si>
    <t>SIUnitId</t>
  </si>
  <si>
    <t xml:space="preserve">Unit Name Convetional. </t>
  </si>
  <si>
    <t>Unit Name SI. This is to be discussed. If there are proper 1-1 pairs then this will not be needed</t>
  </si>
  <si>
    <t>TblQCRules</t>
  </si>
  <si>
    <t>IDQCRules</t>
  </si>
  <si>
    <t>QCrule</t>
  </si>
  <si>
    <t>TblRegentBottle</t>
  </si>
  <si>
    <t>IDReagentBottle</t>
  </si>
  <si>
    <t>ReagentLot</t>
  </si>
  <si>
    <t>BottleSize</t>
  </si>
  <si>
    <t>BottleType</t>
  </si>
  <si>
    <t>Manufacturer</t>
  </si>
  <si>
    <t>ManufactureDate</t>
  </si>
  <si>
    <t>Volume</t>
  </si>
  <si>
    <t>VolumeSteps</t>
  </si>
  <si>
    <t>BottleOpenDate</t>
  </si>
  <si>
    <t>BottleStabilityDate</t>
  </si>
  <si>
    <t>Barcode</t>
  </si>
  <si>
    <t>TestCount</t>
  </si>
  <si>
    <t>IsExhausted</t>
  </si>
  <si>
    <t>TblRegentPosition</t>
  </si>
  <si>
    <t>IdTest</t>
  </si>
  <si>
    <t>IdReagentBottle</t>
  </si>
  <si>
    <t>IdReagentPosition</t>
  </si>
  <si>
    <t>TrayPosition</t>
  </si>
  <si>
    <t>IsOuter</t>
  </si>
  <si>
    <t>IsInUse</t>
  </si>
  <si>
    <t>IsReminderRequired</t>
  </si>
  <si>
    <t>ReminderCount</t>
  </si>
  <si>
    <t>Reagent Lot number</t>
  </si>
  <si>
    <t>Bottle Type</t>
  </si>
  <si>
    <t>Bottle Size</t>
  </si>
  <si>
    <t>Reminder Count</t>
  </si>
  <si>
    <t>Bottle Tyoe</t>
  </si>
  <si>
    <t>name</t>
  </si>
  <si>
    <t>R1</t>
  </si>
  <si>
    <t>R2</t>
  </si>
  <si>
    <t>Special</t>
  </si>
  <si>
    <t>Manufacturing date</t>
  </si>
  <si>
    <t>Expiry Date for reagent</t>
  </si>
  <si>
    <t>Volume in the bottle</t>
  </si>
  <si>
    <t>Volume Steps in the bottler</t>
  </si>
  <si>
    <t>Bottle Opening Date</t>
  </si>
  <si>
    <t>Reagent Stability Date</t>
  </si>
  <si>
    <t>Reagent Barcode</t>
  </si>
  <si>
    <t>Number of tests performed</t>
  </si>
  <si>
    <t>Is exhausted/empty</t>
  </si>
  <si>
    <t>Reminder for new bottle</t>
  </si>
  <si>
    <t>Is Bottle Active or not</t>
  </si>
  <si>
    <t>Tray Position</t>
  </si>
  <si>
    <t>Is Outer position in tray</t>
  </si>
  <si>
    <t>Is Bottle in Use currently</t>
  </si>
  <si>
    <t>TblPatient</t>
  </si>
  <si>
    <t>IdPatient</t>
  </si>
  <si>
    <t>PatientName</t>
  </si>
  <si>
    <t>PatientFirstName</t>
  </si>
  <si>
    <t>PatientSecondName</t>
  </si>
  <si>
    <t>PatientLastName</t>
  </si>
  <si>
    <t>Age</t>
  </si>
  <si>
    <t>DateOfBirth</t>
  </si>
  <si>
    <t>AgeUnits</t>
  </si>
  <si>
    <t>Gender</t>
  </si>
  <si>
    <t>Remark</t>
  </si>
  <si>
    <t>First Name</t>
  </si>
  <si>
    <t>Second Name</t>
  </si>
  <si>
    <t>Last Name</t>
  </si>
  <si>
    <t>Display Name</t>
  </si>
  <si>
    <t>DOB</t>
  </si>
  <si>
    <t>Age in days</t>
  </si>
  <si>
    <t>TblSample</t>
  </si>
  <si>
    <t>IdSample</t>
  </si>
  <si>
    <t>SampleProcessDate</t>
  </si>
  <si>
    <t>SampleType</t>
  </si>
  <si>
    <t>SampleBarcode</t>
  </si>
  <si>
    <t>IsSampleBarcoded</t>
  </si>
  <si>
    <t>SampleCollectionDate</t>
  </si>
  <si>
    <t>SampleRemark</t>
  </si>
  <si>
    <t>HaveCaluclatedTestsCompleted</t>
  </si>
  <si>
    <t>AreAllTestDone</t>
  </si>
  <si>
    <t>PatientID</t>
  </si>
  <si>
    <t>Sample Barcode</t>
  </si>
  <si>
    <t>Sample Type</t>
  </si>
  <si>
    <t>Sample Run Date</t>
  </si>
  <si>
    <t>tblPatient(IdPatient)</t>
  </si>
  <si>
    <t>TblSchedule</t>
  </si>
  <si>
    <t>IdSchedule</t>
  </si>
  <si>
    <t>Sample Type(Serum,Urine etc.)</t>
  </si>
  <si>
    <t>SampleFor</t>
  </si>
  <si>
    <t>Sample, QC, Calibration</t>
  </si>
  <si>
    <t>SamplePosition</t>
  </si>
  <si>
    <t>IsSampleStat</t>
  </si>
  <si>
    <t xml:space="preserve">bool </t>
  </si>
  <si>
    <t>SampleStatus</t>
  </si>
  <si>
    <t>Scheduled</t>
  </si>
  <si>
    <t>InProcess</t>
  </si>
  <si>
    <t>Rescheduled</t>
  </si>
  <si>
    <t>Pending</t>
  </si>
  <si>
    <t>Result</t>
  </si>
  <si>
    <t>SampleContainer</t>
  </si>
  <si>
    <t>If QC is scheduled, this will reference the QC Details table. Else null</t>
  </si>
  <si>
    <t>If Calibration is scheduled, this will reference the StandardDetail table. Else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</si>
</sst>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rgb="FFD9E1F2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quotePrefix="1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0" fontId="3" fillId="3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vertical="center" wrapText="1"/>
    </xf>
    <xf numFmtId="0" fontId="0" fillId="4" borderId="0" xfId="0" applyFill="1"/>
    <xf numFmtId="0" fontId="1" fillId="0" borderId="3" xfId="0" applyFont="1" applyBorder="1" applyAlignment="1">
      <alignment horizontal="center"/>
    </xf>
    <xf numFmtId="0" fontId="3" fillId="3" borderId="0" xfId="0" applyFont="1" applyFill="1" applyBorder="1"/>
    <xf numFmtId="0" fontId="1" fillId="0" borderId="7" xfId="0" applyFont="1" applyFill="1" applyBorder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0" fillId="0" borderId="1" xfId="0" applyFill="1" applyBorder="1"/>
    <xf numFmtId="0" fontId="0" fillId="0" borderId="2" xfId="0" applyFill="1" applyBorder="1"/>
    <xf numFmtId="0" fontId="0" fillId="0" borderId="5" xfId="0" applyFill="1" applyBorder="1"/>
    <xf numFmtId="0" fontId="0" fillId="0" borderId="6" xfId="0" applyFill="1" applyBorder="1"/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3" fillId="3" borderId="4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5" xfId="0" applyFill="1" applyBorder="1" applyAlignment="1">
      <alignment vertical="center"/>
    </xf>
    <xf numFmtId="0" fontId="0" fillId="0" borderId="6" xfId="0" applyFill="1" applyBorder="1" applyAlignment="1">
      <alignment vertical="center"/>
    </xf>
  </cellXfs>
  <cellStyles count="1">
    <cellStyle name="Normal" xfId="0" builtinId="0"/>
  </cellStyles>
  <dxfs count="114"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hir" id="{C1EE1416-93D7-4365-ABB4-B49D1C7339E3}" userId="S::Mihir@shlpl.in::93048471-1b55-49df-a24f-057f0a65514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77E548-D934-4CC0-8955-C21553C93AB4}" name="Table4" displayName="Table4" ref="C4:L13" totalsRowShown="0">
  <autoFilter ref="C4:L13" xr:uid="{CB77E548-D934-4CC0-8955-C21553C93AB4}"/>
  <tableColumns count="10">
    <tableColumn id="1" xr3:uid="{F2F9A223-497C-4FE6-83AE-6B77341F9D42}" name="SrNo.">
      <calculatedColumnFormula>C4+1</calculatedColumnFormula>
    </tableColumn>
    <tableColumn id="2" xr3:uid="{BE29C691-ACBC-4E09-83E2-257A4364086C}" name="ColumnName"/>
    <tableColumn id="3" xr3:uid="{798DF3D7-5C07-4992-BB35-86AECEA3E089}" name="ColumnType"/>
    <tableColumn id="4" xr3:uid="{4290CA2C-5116-4B60-A5BD-2BF2A75541C8}" name="Key"/>
    <tableColumn id="5" xr3:uid="{BC2E8D38-DB1C-415E-A3F3-DB426168F0C3}" name="Max"/>
    <tableColumn id="6" xr3:uid="{F78215BE-F6A4-4235-911C-CD250FDF60B0}" name="NotNull"/>
    <tableColumn id="7" xr3:uid="{FE2AE5F8-325E-483A-A3C3-A693641B4C0D}" name="FK"/>
    <tableColumn id="8" xr3:uid="{8A141925-2BAB-4914-9D97-BE22A42E7B75}" name="Index"/>
    <tableColumn id="9" xr3:uid="{9702AC02-603D-4FD8-9709-A2F596EFD849}" name="Description/Remark"/>
    <tableColumn id="10" xr3:uid="{52E6EA91-F86A-4C23-88C1-464D21A20446}" name="DefaultVal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6F1B1E0-4161-410B-B837-1DD7E1B4F3C2}" name="Table46" displayName="Table46" ref="D4:M13" totalsRowShown="0">
  <autoFilter ref="D4:M13" xr:uid="{66F1B1E0-4161-410B-B837-1DD7E1B4F3C2}"/>
  <tableColumns count="10">
    <tableColumn id="1" xr3:uid="{AE22C80D-F19B-480B-B8B8-DB97D65146A9}" name="SrNo.">
      <calculatedColumnFormula>D4+1</calculatedColumnFormula>
    </tableColumn>
    <tableColumn id="2" xr3:uid="{94C8BFBE-F39C-4D83-9E7D-F3709817AB9A}" name="ColumnName"/>
    <tableColumn id="3" xr3:uid="{11A46615-FF45-4789-856D-8A20FB183B54}" name="ColumnType"/>
    <tableColumn id="4" xr3:uid="{7AACCE20-894D-40D8-9BC7-30167D2305F8}" name="Key"/>
    <tableColumn id="5" xr3:uid="{BD44FAEE-D594-4EE4-8C0D-F6A429D1734A}" name="Max"/>
    <tableColumn id="6" xr3:uid="{33565E80-014D-42D3-8F7C-B0B91C7FB02F}" name="NotNull"/>
    <tableColumn id="7" xr3:uid="{DD1B9A84-68BE-4CF4-B77A-F4C21A544A61}" name="FK"/>
    <tableColumn id="8" xr3:uid="{9C404EF9-2C1F-4FFE-9954-61DD6C515E7F}" name="Index"/>
    <tableColumn id="9" xr3:uid="{0A89F839-B0A0-4FA5-B56D-2106D383405F}" name="Description/Remark"/>
    <tableColumn id="10" xr3:uid="{1E6556A7-EFB9-485D-AF9F-89A2FE616FCC}" name="DefaultValu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3FDCCD7-C3C2-48D7-A8AB-0B25A85697AD}" name="Table469" displayName="Table469" ref="D4:M14" totalsRowShown="0">
  <autoFilter ref="D4:M14" xr:uid="{B3FDCCD7-C3C2-48D7-A8AB-0B25A85697AD}"/>
  <tableColumns count="10">
    <tableColumn id="1" xr3:uid="{BD6C8AD9-3CF8-4F23-BEFA-8FD91D77D9AC}" name="SrNo.">
      <calculatedColumnFormula>D4+1</calculatedColumnFormula>
    </tableColumn>
    <tableColumn id="2" xr3:uid="{CD533208-6487-4EAA-8507-BF6414FC8E48}" name="ColumnName"/>
    <tableColumn id="3" xr3:uid="{3E3A3358-7669-4F97-BABB-9A6537D37A75}" name="ColumnType"/>
    <tableColumn id="4" xr3:uid="{C81F07C1-A575-418C-B900-61C453D03DF6}" name="Key"/>
    <tableColumn id="5" xr3:uid="{FA525448-793E-4E6D-AF82-E7E0BA101DDD}" name="Max"/>
    <tableColumn id="6" xr3:uid="{8B2E786D-56CE-472E-A54C-E3DB0ACEF216}" name="NotNull"/>
    <tableColumn id="7" xr3:uid="{73BDCB24-D82B-47BE-89DE-C5E4158BAC51}" name="FK"/>
    <tableColumn id="8" xr3:uid="{5D9991C9-275A-444A-95AA-74E150ACD186}" name="Index"/>
    <tableColumn id="9" xr3:uid="{3235C1DD-FFD5-47E0-A7DE-176DD517052E}" name="Description/Remark"/>
    <tableColumn id="10" xr3:uid="{79E0F827-A2C8-466B-BAE8-1BAFCF30C160}" name="DefaultValu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9F99A5-2715-4E7F-8A4D-5931EE803AAA}" name="Table46910" displayName="Table46910" ref="D4:M13" totalsRowShown="0">
  <autoFilter ref="D4:M13" xr:uid="{319F99A5-2715-4E7F-8A4D-5931EE803AAA}"/>
  <tableColumns count="10">
    <tableColumn id="1" xr3:uid="{44FA916A-35C0-411F-A111-8917D10C5131}" name="SrNo.">
      <calculatedColumnFormula>D4+1</calculatedColumnFormula>
    </tableColumn>
    <tableColumn id="2" xr3:uid="{8F8A3C34-A94B-4197-977B-E8E4767E6937}" name="ColumnName"/>
    <tableColumn id="3" xr3:uid="{97F69D1E-0AFC-492B-93B6-9E87B6001444}" name="ColumnType"/>
    <tableColumn id="4" xr3:uid="{401ED43F-908D-496B-A8A8-890FE3EF2AAE}" name="Key"/>
    <tableColumn id="5" xr3:uid="{E1B7D0EF-84F5-49C0-AE52-7AC90295342F}" name="Max"/>
    <tableColumn id="6" xr3:uid="{A88259AC-5E64-4A22-919D-C950D9EFF652}" name="NotNull"/>
    <tableColumn id="7" xr3:uid="{3237F139-0292-4C7D-8B97-27A44824833B}" name="FK"/>
    <tableColumn id="8" xr3:uid="{B1E58C1E-5536-46E8-B6B7-A2BF486E7F7C}" name="Index"/>
    <tableColumn id="9" xr3:uid="{5186D3A5-4546-4058-8081-432032C3EB9B}" name="Description/Remark"/>
    <tableColumn id="10" xr3:uid="{AFD14410-1C48-4A0A-89BD-49FDAF9A4B7A}" name="DefaultValu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C42F5E-CB25-44ED-9D4F-5FD5FEFFDE1C}" name="Table4691011" displayName="Table4691011" ref="D4:M14" totalsRowShown="0" dataDxfId="90">
  <autoFilter ref="D4:M14" xr:uid="{6DC42F5E-CB25-44ED-9D4F-5FD5FEFFDE1C}"/>
  <tableColumns count="10">
    <tableColumn id="1" xr3:uid="{C84503C8-B03F-48D9-AA2C-B9F0E3CCBF0C}" name="SrNo." dataDxfId="100">
      <calculatedColumnFormula>D4+1</calculatedColumnFormula>
    </tableColumn>
    <tableColumn id="2" xr3:uid="{85DC5AE9-0650-443C-B7FC-7C1B9BDFBD9C}" name="ColumnName" dataDxfId="99"/>
    <tableColumn id="3" xr3:uid="{79E8D1DB-D892-4BFB-AC6D-7E0094F01C24}" name="ColumnType" dataDxfId="98"/>
    <tableColumn id="4" xr3:uid="{263BB758-FE2F-4165-8B76-7AC901170401}" name="Key" dataDxfId="97"/>
    <tableColumn id="5" xr3:uid="{870AA3D3-7A4F-4017-8DC7-35FA361EFDB9}" name="Max" dataDxfId="96"/>
    <tableColumn id="6" xr3:uid="{17D895E7-54C8-445D-B9CD-E87393B5CCCD}" name="NotNull" dataDxfId="95"/>
    <tableColumn id="7" xr3:uid="{FED266F2-131E-4F42-B806-094C7BC3F752}" name="FK" dataDxfId="94"/>
    <tableColumn id="8" xr3:uid="{CBA0DEA7-7858-4FF6-BCBE-496880BC9476}" name="Index" dataDxfId="93"/>
    <tableColumn id="9" xr3:uid="{319A4CEA-AA59-43D8-ACD6-3A96E6105F6E}" name="Description/Remark" dataDxfId="92"/>
    <tableColumn id="10" xr3:uid="{2959DF05-B716-4F96-A35B-B585E6EAEC3F}" name="DefaultValues" dataDxfId="9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6FDA511-68C3-4646-9DE2-E7C9B3F52799}" name="Table4691012" displayName="Table4691012" ref="D4:M21" totalsRowShown="0" headerRowDxfId="79" dataDxfId="78">
  <autoFilter ref="D4:M21" xr:uid="{36FDA511-68C3-4646-9DE2-E7C9B3F52799}"/>
  <tableColumns count="10">
    <tableColumn id="1" xr3:uid="{FA1DD161-03DF-4A6E-A208-B5F3F2F2A23A}" name="SrNo." dataDxfId="89">
      <calculatedColumnFormula>D4+1</calculatedColumnFormula>
    </tableColumn>
    <tableColumn id="2" xr3:uid="{10B49CF5-F84E-40D6-8E0C-4CC820484D11}" name="ColumnName" dataDxfId="88"/>
    <tableColumn id="3" xr3:uid="{87B2A929-C5B6-4FD9-B320-D3513A402998}" name="ColumnType" dataDxfId="87"/>
    <tableColumn id="4" xr3:uid="{B663B244-4111-4D65-9520-24F448158115}" name="Key" dataDxfId="86"/>
    <tableColumn id="5" xr3:uid="{9FA9BF78-EE0D-4144-8410-FF72D1376CEC}" name="Max" dataDxfId="85"/>
    <tableColumn id="6" xr3:uid="{DA68CBC3-C41E-4BA3-8C0D-FA4813BB24C4}" name="NotNull" dataDxfId="84"/>
    <tableColumn id="7" xr3:uid="{D93794C8-FDB1-4BD6-9BF2-D6AE335FA640}" name="FK" dataDxfId="83"/>
    <tableColumn id="8" xr3:uid="{883CB790-F82B-411C-8286-0C53C8664723}" name="Index" dataDxfId="82"/>
    <tableColumn id="9" xr3:uid="{79D3A232-5BFF-4B30-85D1-81DC0EEC276C}" name="Description/Remark" dataDxfId="81"/>
    <tableColumn id="10" xr3:uid="{802344BC-B7C1-4F47-B85F-E9369ABF5352}" name="DefaultValues" dataDxfId="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A18F392-FE31-4618-A3DF-3E271C70F53C}" name="Table469101213" displayName="Table469101213" ref="D4:M32" totalsRowShown="0">
  <autoFilter ref="D4:M32" xr:uid="{CA18F392-FE31-4618-A3DF-3E271C70F53C}"/>
  <tableColumns count="10">
    <tableColumn id="1" xr3:uid="{C8D32CAA-8B37-49DC-A234-3197F00CB44D}" name="SrNo.">
      <calculatedColumnFormula>D4+1</calculatedColumnFormula>
    </tableColumn>
    <tableColumn id="2" xr3:uid="{A48EDCCE-9D9C-475B-B325-A8458730EE95}" name="ColumnName"/>
    <tableColumn id="3" xr3:uid="{A201744B-7BFD-4872-AFD8-65B3A4003F66}" name="ColumnType"/>
    <tableColumn id="4" xr3:uid="{A60CC6B5-4A79-4CC7-BCBD-AD4114AD296C}" name="Key"/>
    <tableColumn id="5" xr3:uid="{F9DEE2A5-32CA-4AF6-8EEE-C3AB346D977D}" name="Max"/>
    <tableColumn id="6" xr3:uid="{89D63AD0-F0FF-4A21-A091-1DEC75EEB125}" name="NotNull"/>
    <tableColumn id="7" xr3:uid="{42B81C98-F5E7-4E5E-AA23-1EC8728CF5D2}" name="FK"/>
    <tableColumn id="8" xr3:uid="{FF844070-DD2A-45A9-A8F1-0A865B85A897}" name="Index"/>
    <tableColumn id="9" xr3:uid="{EB4BFF13-CE68-4090-B264-117F0A251207}" name="Description/Remark"/>
    <tableColumn id="10" xr3:uid="{6A7AE065-D9B9-457D-984A-7EF0CE8CD5CC}" name="DefaultValu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640ACB-80CB-4837-BF93-1F7D159C926A}" name="Table46910123" displayName="Table46910123" ref="D4:M18" totalsRowShown="0">
  <autoFilter ref="D4:M18" xr:uid="{DC640ACB-80CB-4837-BF93-1F7D159C926A}"/>
  <tableColumns count="10">
    <tableColumn id="1" xr3:uid="{572A4F2A-0885-42CC-8EAA-E33B3B33A38F}" name="SrNo.">
      <calculatedColumnFormula>D4+1</calculatedColumnFormula>
    </tableColumn>
    <tableColumn id="2" xr3:uid="{74CC5289-BCF4-456A-A251-B76BE27BBD10}" name="ColumnName"/>
    <tableColumn id="3" xr3:uid="{928C57A1-6BCA-4B40-8430-4C66BB3A04FC}" name="ColumnType"/>
    <tableColumn id="4" xr3:uid="{9A4588BE-83FC-49EC-B33D-6EF92B9A030C}" name="Key"/>
    <tableColumn id="5" xr3:uid="{628A2FAF-33CB-4867-BC9C-89346366AFE1}" name="Max"/>
    <tableColumn id="6" xr3:uid="{E7003241-77B5-42D0-AC5E-1D7F30398EF7}" name="NotNull"/>
    <tableColumn id="7" xr3:uid="{55B90E93-6A2C-4F0C-98C4-492D2FFEB3ED}" name="FK"/>
    <tableColumn id="8" xr3:uid="{A55B1BE5-483F-4C3C-8D72-DE46231783A7}" name="Index"/>
    <tableColumn id="9" xr3:uid="{24E99D88-F46F-4B5A-B34D-1CC00CE665BC}" name="Description/Remark"/>
    <tableColumn id="10" xr3:uid="{1EF00EF1-6C8E-48D1-9EB2-904490A5C424}" name="DefaultValu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FA1755-284A-4840-BC64-EC568EA0D009}" name="Table46910122" displayName="Table46910122" ref="D4:M14" totalsRowShown="0">
  <autoFilter ref="D4:M14" xr:uid="{3AFA1755-284A-4840-BC64-EC568EA0D009}"/>
  <tableColumns count="10">
    <tableColumn id="1" xr3:uid="{957D0969-FEF8-4492-9389-31149740CE2C}" name="SrNo.">
      <calculatedColumnFormula>D4+1</calculatedColumnFormula>
    </tableColumn>
    <tableColumn id="2" xr3:uid="{D07AAFC2-71CB-463B-A215-9D41EF92AA79}" name="ColumnName"/>
    <tableColumn id="3" xr3:uid="{1067C4C4-F32F-418A-A501-E770A6E59745}" name="ColumnType"/>
    <tableColumn id="4" xr3:uid="{B23AC769-AC09-4CCE-BBA1-76EB44A95ABE}" name="Key"/>
    <tableColumn id="5" xr3:uid="{CF273A9B-E1FC-43CA-95E6-C77F137E1D17}" name="Max"/>
    <tableColumn id="6" xr3:uid="{78050486-1CA6-41B6-AA13-EA796C73A498}" name="NotNull"/>
    <tableColumn id="7" xr3:uid="{6581DCF4-EC5C-4EE0-A782-ED7D37EBCDEB}" name="FK"/>
    <tableColumn id="8" xr3:uid="{EB80AD91-C0BE-407F-ABC6-1C74E5A54349}" name="Index"/>
    <tableColumn id="9" xr3:uid="{4DC07C38-AC5E-4A15-A79B-728F9B46C15F}" name="Description/Remark"/>
    <tableColumn id="10" xr3:uid="{B57091CB-B71E-4A73-ACD8-2B8936C07CAF}" name="DefaultValu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07A755-4419-49EB-A33D-F81830229935}" name="Table469101234" displayName="Table469101234" ref="D4:M23" totalsRowShown="0">
  <autoFilter ref="D4:M23" xr:uid="{EC07A755-4419-49EB-A33D-F81830229935}"/>
  <tableColumns count="10">
    <tableColumn id="1" xr3:uid="{0309BA8E-F934-4282-8F1B-69C4A64A9368}" name="SrNo.">
      <calculatedColumnFormula>D4+1</calculatedColumnFormula>
    </tableColumn>
    <tableColumn id="2" xr3:uid="{1803425A-0460-4AEC-8497-C4692E4A01F6}" name="ColumnName"/>
    <tableColumn id="3" xr3:uid="{041153EB-E7A4-4995-9A0E-D3AFB6465550}" name="ColumnType"/>
    <tableColumn id="4" xr3:uid="{F5CF5622-D728-4BC7-B4C5-8999971A0EAD}" name="Key"/>
    <tableColumn id="5" xr3:uid="{2C6ACB46-E41A-467F-B14D-C05628B55F08}" name="Max"/>
    <tableColumn id="6" xr3:uid="{C6C7BF82-94EE-4882-9665-F944172C37A0}" name="NotNull"/>
    <tableColumn id="7" xr3:uid="{F7EF1F90-AB94-42B5-B4E9-E20D28678B27}" name="FK"/>
    <tableColumn id="8" xr3:uid="{46D60E9A-1043-4E10-B2FC-B489DBC1736E}" name="Index"/>
    <tableColumn id="9" xr3:uid="{F3F70555-98DB-46EA-8876-8ADCB2769308}" name="Description/Remark"/>
    <tableColumn id="10" xr3:uid="{21C80EC6-AD27-4353-987E-AEF757FA9113}" name="DefaultValu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1883F1-B605-467A-BFA9-52385DF42992}" name="Table469101227" displayName="Table469101227" ref="D4:M18" totalsRowShown="0">
  <autoFilter ref="D4:M18" xr:uid="{BA1883F1-B605-467A-BFA9-52385DF42992}"/>
  <tableColumns count="10">
    <tableColumn id="1" xr3:uid="{76FEDB6B-AAB1-467E-A6EC-963F846449BE}" name="SrNo.">
      <calculatedColumnFormula>D4+1</calculatedColumnFormula>
    </tableColumn>
    <tableColumn id="2" xr3:uid="{13C1A2A0-D0D2-49A0-B3D4-FC11137636AA}" name="ColumnName"/>
    <tableColumn id="3" xr3:uid="{4417E27E-0509-4863-A874-1F6654E21244}" name="ColumnType"/>
    <tableColumn id="4" xr3:uid="{D8506FDA-FADE-47B0-934F-BEB64F9B3ADB}" name="Key"/>
    <tableColumn id="5" xr3:uid="{17110D9E-00E3-4147-8A53-6E85A2DB4848}" name="Max"/>
    <tableColumn id="6" xr3:uid="{62EF2200-8699-4C87-AB44-3FA1F3DF0266}" name="NotNull"/>
    <tableColumn id="7" xr3:uid="{6B8CCE7C-E5CE-4F0A-ADB8-1303BA02FA87}" name="FK"/>
    <tableColumn id="8" xr3:uid="{BD550FE6-270E-4CEF-B2A2-4738D8E879C1}" name="Index"/>
    <tableColumn id="9" xr3:uid="{3AFCDBEA-63FA-49F6-8CE2-75EB58FF6056}" name="Description/Remark"/>
    <tableColumn id="10" xr3:uid="{8A684F76-6453-4DC2-9901-0C5D68135B68}" name="DefaultValu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C7A2FF-4AC6-421C-BD38-27BE4575EA13}" name="Table4691012348" displayName="Table4691012348" ref="D4:M14" totalsRowShown="0">
  <autoFilter ref="D4:M14" xr:uid="{A8C7A2FF-4AC6-421C-BD38-27BE4575EA13}"/>
  <tableColumns count="10">
    <tableColumn id="1" xr3:uid="{61B8DB88-5D60-44AA-B32F-A3993F6375B8}" name="SrNo.">
      <calculatedColumnFormula>D4+1</calculatedColumnFormula>
    </tableColumn>
    <tableColumn id="2" xr3:uid="{2438A30B-FEB3-4F2F-8982-343DEA4256DD}" name="ColumnName"/>
    <tableColumn id="3" xr3:uid="{A8CCDF77-7F41-4743-B3C2-5F52777F8214}" name="ColumnType"/>
    <tableColumn id="4" xr3:uid="{F52C7356-4524-48CB-8E24-5BB875D9214A}" name="Key"/>
    <tableColumn id="5" xr3:uid="{3AD106C4-D523-4267-9FC5-99C5356AF65E}" name="Max"/>
    <tableColumn id="6" xr3:uid="{9942EC99-73FC-4E59-BAC9-C878944C4324}" name="NotNull"/>
    <tableColumn id="7" xr3:uid="{68C1AF13-5ABA-4097-BB8B-35FBEF58A1C7}" name="FK"/>
    <tableColumn id="8" xr3:uid="{00DD8DA9-1A28-417A-8DAD-607D3B156792}" name="Index"/>
    <tableColumn id="9" xr3:uid="{8A745CEF-AD72-4DAD-BF0A-07CA70976A13}" name="Description/Remark"/>
    <tableColumn id="10" xr3:uid="{4439B5C4-4FA2-4C9F-AF51-89DA689A2660}" name="DefaultValu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022BDF-2626-4A0E-BC64-DF6589616C24}" name="Table14" displayName="Table14" ref="D4:M18" totalsRowShown="0" headerRowDxfId="102" dataDxfId="101" tableBorderDxfId="113">
  <autoFilter ref="D4:M18" xr:uid="{2F022BDF-2626-4A0E-BC64-DF6589616C24}"/>
  <tableColumns count="10">
    <tableColumn id="1" xr3:uid="{62144328-C465-4BDA-B418-1DD20AE0E217}" name="SrNo." dataDxfId="112">
      <calculatedColumnFormula>D4+1</calculatedColumnFormula>
    </tableColumn>
    <tableColumn id="2" xr3:uid="{E350DBD8-10B4-4630-A273-6781FA500E82}" name="ColumnName" dataDxfId="111"/>
    <tableColumn id="3" xr3:uid="{0B8A8799-DA46-4330-9F38-082A82AEA0E0}" name="ColumnType" dataDxfId="110"/>
    <tableColumn id="4" xr3:uid="{A985B837-BEA2-41B0-8F06-092BD4B74B86}" name="Key" dataDxfId="109"/>
    <tableColumn id="5" xr3:uid="{5F0A82FD-80BB-4A86-8732-90D8CFC9358D}" name="Max" dataDxfId="108"/>
    <tableColumn id="6" xr3:uid="{19DADE50-F3A9-4406-82C1-25E2732D48C6}" name="NotNull" dataDxfId="107"/>
    <tableColumn id="7" xr3:uid="{E008D5C9-598F-46BD-A3E8-866BDB2124F1}" name="FK" dataDxfId="106"/>
    <tableColumn id="8" xr3:uid="{1315A546-639C-45B8-B2D7-8C5BDED98F2C}" name="Index" dataDxfId="105"/>
    <tableColumn id="9" xr3:uid="{63129411-1451-402C-9BA1-AD1F1D306DC1}" name="Description/Remark" dataDxfId="104"/>
    <tableColumn id="10" xr3:uid="{3956B495-21F4-43E4-864F-0E0E486E693D}" name="DefaultValues" dataDxfId="1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1483A58-6430-4207-BC21-B15861FDB522}" name="Table1416" displayName="Table1416" ref="D4:M11" totalsRowShown="0" headerRowDxfId="77" dataDxfId="76" tableBorderDxfId="75">
  <autoFilter ref="D4:M11" xr:uid="{31483A58-6430-4207-BC21-B15861FDB522}"/>
  <tableColumns count="10">
    <tableColumn id="1" xr3:uid="{6B8690E0-C964-46C0-B74B-1178FB610196}" name="SrNo." dataDxfId="74">
      <calculatedColumnFormula>D4+1</calculatedColumnFormula>
    </tableColumn>
    <tableColumn id="2" xr3:uid="{8FD3B5B1-D50D-4A4F-9A74-F5328734DA4A}" name="ColumnName" dataDxfId="73"/>
    <tableColumn id="3" xr3:uid="{68D27FB2-D062-405D-BFDF-3D760FAA1111}" name="ColumnType" dataDxfId="72"/>
    <tableColumn id="4" xr3:uid="{D0360E3D-3B6F-4FFA-8403-8DF9A797C84A}" name="Key" dataDxfId="71"/>
    <tableColumn id="5" xr3:uid="{B4D83620-D36E-4213-A99C-91F3928A7D9F}" name="Max" dataDxfId="70"/>
    <tableColumn id="6" xr3:uid="{197C34CB-90F4-4FD4-8B93-C44B0157B9C6}" name="NotNull" dataDxfId="69"/>
    <tableColumn id="7" xr3:uid="{AF66F74B-D157-41B1-99D6-199A37763D87}" name="FK" dataDxfId="68"/>
    <tableColumn id="8" xr3:uid="{CAB4B226-7073-4232-B01E-E7D48789BD9E}" name="Index" dataDxfId="67"/>
    <tableColumn id="9" xr3:uid="{B1A90F2F-2CB7-446A-98D8-5C856E1AD658}" name="Description/Remark" dataDxfId="66"/>
    <tableColumn id="10" xr3:uid="{AD05F9D8-84F4-435C-AE98-66E3D3A09CC7}" name="DefaultValues" dataDxfId="6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448722C-C2FD-480A-B086-E76B9299C69E}" name="Table1417" displayName="Table1417" ref="D4:M26" totalsRowShown="0" headerRowDxfId="64" dataDxfId="63" tableBorderDxfId="62">
  <autoFilter ref="D4:M26" xr:uid="{7448722C-C2FD-480A-B086-E76B9299C69E}"/>
  <tableColumns count="10">
    <tableColumn id="1" xr3:uid="{3E4ED81A-0527-4090-8AA2-1869ACDC37A0}" name="SrNo." dataDxfId="61">
      <calculatedColumnFormula>D4+1</calculatedColumnFormula>
    </tableColumn>
    <tableColumn id="2" xr3:uid="{9E283329-89B4-43EA-BD21-326D5BC0E44E}" name="ColumnName" dataDxfId="60"/>
    <tableColumn id="3" xr3:uid="{8436A6B0-FAA4-4131-9C8F-A37974F70A4E}" name="ColumnType" dataDxfId="59"/>
    <tableColumn id="4" xr3:uid="{92AF0EEC-CF53-4E26-A43B-1B1C90DB9039}" name="Key" dataDxfId="58"/>
    <tableColumn id="5" xr3:uid="{62AC0182-16ED-4D7A-98B9-B41B161765D9}" name="Max" dataDxfId="57"/>
    <tableColumn id="6" xr3:uid="{B9F01E72-6E07-48FE-BF2C-688DC1C77AC0}" name="NotNull" dataDxfId="56"/>
    <tableColumn id="7" xr3:uid="{49E98FF4-096B-44C8-A85C-2E76A6BEB823}" name="FK" dataDxfId="55"/>
    <tableColumn id="8" xr3:uid="{87B737F9-314E-409C-8783-0537A162620F}" name="Index" dataDxfId="54"/>
    <tableColumn id="9" xr3:uid="{F343A0DE-48C4-4E87-AE8D-677E965BE2C0}" name="Description/Remark" dataDxfId="53"/>
    <tableColumn id="10" xr3:uid="{92AF735F-5C03-4197-A973-5B4BA70B28EA}" name="DefaultValues" dataDxfId="5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62850C0-6A0B-4E2C-AFCE-DEC8B4912535}" name="Table141718" displayName="Table141718" ref="D4:M15" totalsRowShown="0" headerRowDxfId="51" dataDxfId="50" tableBorderDxfId="49">
  <autoFilter ref="D4:M15" xr:uid="{062850C0-6A0B-4E2C-AFCE-DEC8B4912535}"/>
  <tableColumns count="10">
    <tableColumn id="1" xr3:uid="{5F0C37EA-E746-4D41-B2CB-0C3D081E092C}" name="SrNo." dataDxfId="48">
      <calculatedColumnFormula>D4+1</calculatedColumnFormula>
    </tableColumn>
    <tableColumn id="2" xr3:uid="{ADADB569-A87A-4D3E-8B6C-9123CCF3F429}" name="ColumnName" dataDxfId="47"/>
    <tableColumn id="3" xr3:uid="{4BF960A4-F213-4903-B806-F3B5594ADF59}" name="ColumnType" dataDxfId="46"/>
    <tableColumn id="4" xr3:uid="{03E931CC-ECEA-4714-8B8D-6505C022258D}" name="Key" dataDxfId="45"/>
    <tableColumn id="5" xr3:uid="{79A6BDB0-817C-4B8D-8450-688DF1C2C375}" name="Max" dataDxfId="44"/>
    <tableColumn id="6" xr3:uid="{E3CD0720-8D17-4034-8900-EE3ABE4CD508}" name="NotNull" dataDxfId="43"/>
    <tableColumn id="7" xr3:uid="{A5F799F3-C54A-4942-9E3E-F6142659D4B2}" name="FK" dataDxfId="42"/>
    <tableColumn id="8" xr3:uid="{3F30E9D2-2E7C-441B-91C5-960593496E30}" name="Index" dataDxfId="41"/>
    <tableColumn id="9" xr3:uid="{786C984C-E4B7-4EF2-A4DC-A63C4B54A99B}" name="Description/Remark" dataDxfId="40"/>
    <tableColumn id="10" xr3:uid="{24A9FDCC-B632-45D3-B567-C3AEDCD171EC}" name="DefaultValues" dataDxfId="3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D49F004-ACC1-4F2B-A440-7AB38D319F9E}" name="Table14171819" displayName="Table14171819" ref="D4:M19" totalsRowShown="0" headerRowDxfId="38" dataDxfId="37" tableBorderDxfId="36">
  <autoFilter ref="D4:M19" xr:uid="{7D49F004-ACC1-4F2B-A440-7AB38D319F9E}"/>
  <tableColumns count="10">
    <tableColumn id="1" xr3:uid="{D5C85947-017A-4B1B-8DE7-7ADD103CF142}" name="SrNo." dataDxfId="35">
      <calculatedColumnFormula>D4+1</calculatedColumnFormula>
    </tableColumn>
    <tableColumn id="2" xr3:uid="{2A311B76-4103-40CE-B9B4-A09B7100725D}" name="ColumnName" dataDxfId="34"/>
    <tableColumn id="3" xr3:uid="{31497583-846E-4EB7-9B72-769C14338F4C}" name="ColumnType" dataDxfId="33"/>
    <tableColumn id="4" xr3:uid="{7E69A8C3-E0A2-46FD-BE15-47B19446B710}" name="Key" dataDxfId="32"/>
    <tableColumn id="5" xr3:uid="{8373D519-300B-414F-9827-769B12F35C0E}" name="Max" dataDxfId="31"/>
    <tableColumn id="6" xr3:uid="{F7995696-5A95-46F6-A886-09BC920299F5}" name="NotNull" dataDxfId="30"/>
    <tableColumn id="7" xr3:uid="{2EFE0D82-C9CE-46AF-937C-CAC1A33E41FA}" name="FK" dataDxfId="29"/>
    <tableColumn id="8" xr3:uid="{BBDD2A4F-5325-4488-B9E4-84B7F32F1808}" name="Index" dataDxfId="28"/>
    <tableColumn id="9" xr3:uid="{599C37FF-6600-4D02-AF1B-D4415A44404C}" name="Description/Remark" dataDxfId="27"/>
    <tableColumn id="10" xr3:uid="{AF6785AD-8F0B-475A-9155-E4ECC99AB66B}" name="DefaultValues" dataDxfId="2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3D2071-6560-48A6-A896-789A72835760}" name="Table1417181920" displayName="Table1417181920" ref="D4:M28" totalsRowShown="0" headerRowDxfId="1" dataDxfId="0" tableBorderDxfId="25">
  <autoFilter ref="D4:M28" xr:uid="{003D2071-6560-48A6-A896-789A72835760}"/>
  <tableColumns count="10">
    <tableColumn id="1" xr3:uid="{6307E281-17FA-478D-B4C4-69B91CC23DCB}" name="SrNo." dataDxfId="11">
      <calculatedColumnFormula>D4+1</calculatedColumnFormula>
    </tableColumn>
    <tableColumn id="2" xr3:uid="{F7CE71BC-5077-4722-9F53-46130C878F00}" name="ColumnName" dataDxfId="10"/>
    <tableColumn id="3" xr3:uid="{F50E2932-0892-49D2-BF04-7B767A6929AC}" name="ColumnType" dataDxfId="9"/>
    <tableColumn id="4" xr3:uid="{D41D031A-76AD-4A8D-8354-B97EDABF58FA}" name="Key" dataDxfId="8"/>
    <tableColumn id="5" xr3:uid="{D9F4BF51-EDC1-4A69-9259-A3323500ED51}" name="Max" dataDxfId="7"/>
    <tableColumn id="6" xr3:uid="{519E6A92-F5D1-48E7-892D-91FED00A80FF}" name="NotNull" dataDxfId="6"/>
    <tableColumn id="7" xr3:uid="{2CDFBD4B-00B9-432A-B341-D37C34FA4323}" name="FK" dataDxfId="5"/>
    <tableColumn id="8" xr3:uid="{ECA98293-7368-4035-B986-6EEA54001324}" name="Index" dataDxfId="4"/>
    <tableColumn id="9" xr3:uid="{F9C9E566-4390-452C-A1AD-6FE9452529DB}" name="Description/Remark" dataDxfId="3"/>
    <tableColumn id="10" xr3:uid="{001B97A3-AB6D-4A28-B10F-CBE03ABEE387}" name="DefaultValues" dataDxfId="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857C080-0C5F-4C8D-A8BF-E6CBEE435EFF}" name="Table141718192021" displayName="Table141718192021" ref="D4:M19" totalsRowShown="0" headerRowDxfId="24" dataDxfId="23" tableBorderDxfId="22">
  <autoFilter ref="D4:M19" xr:uid="{4857C080-0C5F-4C8D-A8BF-E6CBEE435EFF}"/>
  <tableColumns count="10">
    <tableColumn id="1" xr3:uid="{1BE4B3D2-C509-4D1E-9813-C80D3B958A9B}" name="SrNo." dataDxfId="21">
      <calculatedColumnFormula>D4+1</calculatedColumnFormula>
    </tableColumn>
    <tableColumn id="2" xr3:uid="{00CCFC2A-5F38-4662-ACF8-3A012342A861}" name="ColumnName" dataDxfId="20"/>
    <tableColumn id="3" xr3:uid="{4B8C91E0-83FF-4AB2-AAF7-E5484661BFF2}" name="ColumnType" dataDxfId="19"/>
    <tableColumn id="4" xr3:uid="{2B61AEB4-6383-4753-8E4A-E59B8A7BF5DE}" name="Key" dataDxfId="18"/>
    <tableColumn id="5" xr3:uid="{8D1CDE40-1E25-4A87-85D0-F5F6C76E2C56}" name="Max" dataDxfId="17"/>
    <tableColumn id="6" xr3:uid="{0B739B3A-6525-4BC0-93F2-36DDB67091E0}" name="NotNull" dataDxfId="16"/>
    <tableColumn id="7" xr3:uid="{BD327395-0F22-4597-8658-9E8FFFDDC3B0}" name="FK" dataDxfId="15"/>
    <tableColumn id="8" xr3:uid="{EC9425D9-E82D-438B-A426-B06009CC10D6}" name="Index" dataDxfId="14"/>
    <tableColumn id="9" xr3:uid="{0C4AE6B6-92A9-4687-A136-8028F2F1C96D}" name="Description/Remark" dataDxfId="13"/>
    <tableColumn id="10" xr3:uid="{D73B921E-5D6B-402B-8012-EACBDB69F9B9}" name="DefaultValues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2" dT="2026-03-24T04:48:47.54" personId="{C1EE1416-93D7-4365-ABB4-B49D1C7339E3}" id="{0A69C8AC-F771-4895-A892-43156EC7A5F5}">
    <text xml:space="preserve">Need to discuss whether to implement a modified by in the same table or create a new userChangeLog table for audit history purposes. 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8A30D-14B9-4146-B9B2-FBC048D1348B}">
  <dimension ref="C3:L13"/>
  <sheetViews>
    <sheetView workbookViewId="0">
      <selection activeCell="D12" sqref="D12"/>
    </sheetView>
  </sheetViews>
  <sheetFormatPr defaultRowHeight="14.4" x14ac:dyDescent="0.3"/>
  <cols>
    <col min="3" max="3" width="7.44140625" customWidth="1"/>
    <col min="4" max="4" width="16.6640625" bestFit="1" customWidth="1"/>
    <col min="5" max="5" width="13" customWidth="1"/>
    <col min="6" max="6" width="11.109375" customWidth="1"/>
    <col min="8" max="8" width="17" bestFit="1" customWidth="1"/>
    <col min="9" max="9" width="25.77734375" bestFit="1" customWidth="1"/>
    <col min="11" max="11" width="25.5546875" bestFit="1" customWidth="1"/>
    <col min="12" max="12" width="17" bestFit="1" customWidth="1"/>
  </cols>
  <sheetData>
    <row r="3" spans="3:12" x14ac:dyDescent="0.3">
      <c r="C3" s="12" t="s">
        <v>0</v>
      </c>
      <c r="D3" s="12"/>
      <c r="E3" s="12"/>
      <c r="F3" s="12"/>
      <c r="G3" s="12"/>
      <c r="H3" s="12"/>
      <c r="I3" s="12"/>
      <c r="J3" s="12"/>
      <c r="K3" s="12"/>
      <c r="L3" s="12"/>
    </row>
    <row r="4" spans="3:12" x14ac:dyDescent="0.3">
      <c r="C4" t="s">
        <v>1</v>
      </c>
      <c r="D4" t="s">
        <v>2</v>
      </c>
      <c r="E4" t="s">
        <v>3</v>
      </c>
      <c r="F4" t="s">
        <v>14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</row>
    <row r="5" spans="3:12" x14ac:dyDescent="0.3">
      <c r="C5">
        <v>1</v>
      </c>
      <c r="D5" t="s">
        <v>4</v>
      </c>
      <c r="E5" t="s">
        <v>5</v>
      </c>
      <c r="F5" t="s">
        <v>15</v>
      </c>
      <c r="G5" t="s">
        <v>16</v>
      </c>
      <c r="H5" t="s">
        <v>20</v>
      </c>
      <c r="I5" t="s">
        <v>16</v>
      </c>
      <c r="J5" t="s">
        <v>18</v>
      </c>
      <c r="K5" t="s">
        <v>19</v>
      </c>
      <c r="L5" t="s">
        <v>16</v>
      </c>
    </row>
    <row r="6" spans="3:12" x14ac:dyDescent="0.3">
      <c r="C6">
        <f t="shared" ref="C6:C13" si="0">C5+1</f>
        <v>2</v>
      </c>
      <c r="D6" t="s">
        <v>6</v>
      </c>
      <c r="E6" t="s">
        <v>7</v>
      </c>
      <c r="G6">
        <v>50</v>
      </c>
      <c r="H6" t="s">
        <v>17</v>
      </c>
      <c r="I6" t="s">
        <v>16</v>
      </c>
      <c r="J6" t="s">
        <v>21</v>
      </c>
      <c r="K6" t="s">
        <v>22</v>
      </c>
      <c r="L6" s="1" t="s">
        <v>23</v>
      </c>
    </row>
    <row r="7" spans="3:12" x14ac:dyDescent="0.3">
      <c r="C7">
        <f t="shared" si="0"/>
        <v>3</v>
      </c>
      <c r="D7" t="s">
        <v>24</v>
      </c>
      <c r="E7" t="s">
        <v>7</v>
      </c>
      <c r="G7">
        <v>60</v>
      </c>
      <c r="H7" t="s">
        <v>17</v>
      </c>
      <c r="I7" t="s">
        <v>16</v>
      </c>
      <c r="J7" t="s">
        <v>21</v>
      </c>
      <c r="K7" t="s">
        <v>25</v>
      </c>
      <c r="L7" t="s">
        <v>23</v>
      </c>
    </row>
    <row r="8" spans="3:12" x14ac:dyDescent="0.3">
      <c r="C8">
        <f t="shared" si="0"/>
        <v>4</v>
      </c>
      <c r="D8" t="s">
        <v>26</v>
      </c>
      <c r="E8" t="s">
        <v>7</v>
      </c>
      <c r="G8">
        <v>100</v>
      </c>
      <c r="H8" t="s">
        <v>27</v>
      </c>
      <c r="I8" t="s">
        <v>16</v>
      </c>
      <c r="J8" t="s">
        <v>21</v>
      </c>
      <c r="K8" t="s">
        <v>28</v>
      </c>
      <c r="L8" t="s">
        <v>23</v>
      </c>
    </row>
    <row r="9" spans="3:12" x14ac:dyDescent="0.3">
      <c r="C9">
        <f t="shared" si="0"/>
        <v>5</v>
      </c>
      <c r="D9" t="s">
        <v>29</v>
      </c>
      <c r="E9" t="s">
        <v>5</v>
      </c>
      <c r="F9" t="s">
        <v>30</v>
      </c>
      <c r="H9" t="s">
        <v>17</v>
      </c>
      <c r="I9" t="s">
        <v>34</v>
      </c>
      <c r="J9" t="s">
        <v>21</v>
      </c>
      <c r="K9" t="s">
        <v>31</v>
      </c>
      <c r="L9" t="s">
        <v>32</v>
      </c>
    </row>
    <row r="10" spans="3:12" x14ac:dyDescent="0.3">
      <c r="C10">
        <f t="shared" si="0"/>
        <v>6</v>
      </c>
      <c r="D10" t="s">
        <v>33</v>
      </c>
      <c r="E10" t="s">
        <v>5</v>
      </c>
      <c r="F10" t="s">
        <v>30</v>
      </c>
      <c r="H10" t="s">
        <v>17</v>
      </c>
      <c r="I10" t="s">
        <v>35</v>
      </c>
      <c r="J10" t="s">
        <v>21</v>
      </c>
      <c r="K10" t="s">
        <v>36</v>
      </c>
      <c r="L10" t="s">
        <v>32</v>
      </c>
    </row>
    <row r="11" spans="3:12" x14ac:dyDescent="0.3">
      <c r="C11">
        <f t="shared" si="0"/>
        <v>7</v>
      </c>
      <c r="D11" t="s">
        <v>37</v>
      </c>
      <c r="E11" t="s">
        <v>38</v>
      </c>
      <c r="H11" t="s">
        <v>17</v>
      </c>
      <c r="J11" t="s">
        <v>21</v>
      </c>
      <c r="K11" t="s">
        <v>36</v>
      </c>
      <c r="L11" t="s">
        <v>42</v>
      </c>
    </row>
    <row r="12" spans="3:12" x14ac:dyDescent="0.3">
      <c r="C12">
        <f t="shared" si="0"/>
        <v>8</v>
      </c>
      <c r="D12" t="s">
        <v>39</v>
      </c>
      <c r="E12" t="s">
        <v>5</v>
      </c>
      <c r="F12" t="s">
        <v>30</v>
      </c>
      <c r="H12" t="s">
        <v>27</v>
      </c>
      <c r="I12" t="s">
        <v>35</v>
      </c>
      <c r="J12" t="s">
        <v>21</v>
      </c>
      <c r="K12" t="s">
        <v>36</v>
      </c>
    </row>
    <row r="13" spans="3:12" x14ac:dyDescent="0.3">
      <c r="C13">
        <f t="shared" si="0"/>
        <v>9</v>
      </c>
      <c r="D13" t="s">
        <v>40</v>
      </c>
      <c r="E13" t="s">
        <v>41</v>
      </c>
      <c r="H13" t="s">
        <v>27</v>
      </c>
      <c r="K13" t="s">
        <v>36</v>
      </c>
    </row>
  </sheetData>
  <mergeCells count="1">
    <mergeCell ref="C3:L3"/>
  </mergeCells>
  <dataValidations count="2">
    <dataValidation type="list" allowBlank="1" showInputMessage="1" showErrorMessage="1" sqref="H5:H1048576" xr:uid="{ED5F31FF-2E42-493B-B219-7080921EB90A}">
      <formula1>"AUTO_INCREMENT,*,Nullable"</formula1>
    </dataValidation>
    <dataValidation type="list" allowBlank="1" showInputMessage="1" showErrorMessage="1" sqref="J5:J1048576" xr:uid="{F9FC6443-B484-48E6-B3E0-D4BF6B115907}">
      <formula1>"Yes,No"</formula1>
    </dataValidation>
  </dataValidations>
  <pageMargins left="0.7" right="0.7" top="0.75" bottom="0.75" header="0.3" footer="0.3"/>
  <pageSetup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8DCF-7437-4EBA-983B-4D6CDB4A7E6A}">
  <dimension ref="D3:M13"/>
  <sheetViews>
    <sheetView workbookViewId="0">
      <selection activeCell="E10" sqref="E10:M13"/>
    </sheetView>
  </sheetViews>
  <sheetFormatPr defaultRowHeight="14.4" x14ac:dyDescent="0.3"/>
  <cols>
    <col min="4" max="4" width="7.88671875" bestFit="1" customWidth="1"/>
    <col min="5" max="5" width="23.5546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3.33203125" bestFit="1" customWidth="1"/>
    <col min="11" max="11" width="7.88671875" bestFit="1" customWidth="1"/>
    <col min="12" max="12" width="35.33203125" bestFit="1" customWidth="1"/>
    <col min="13" max="13" width="21.88671875" bestFit="1" customWidth="1"/>
  </cols>
  <sheetData>
    <row r="3" spans="4:13" x14ac:dyDescent="0.3">
      <c r="D3" s="12" t="s">
        <v>50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51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 t="shared" ref="D6:D13" si="0">D5+1</f>
        <v>2</v>
      </c>
      <c r="E6" t="s">
        <v>52</v>
      </c>
      <c r="F6" t="s">
        <v>7</v>
      </c>
      <c r="H6">
        <v>30</v>
      </c>
      <c r="I6" t="s">
        <v>17</v>
      </c>
      <c r="K6" t="s">
        <v>21</v>
      </c>
      <c r="L6" t="s">
        <v>53</v>
      </c>
      <c r="M6" s="1"/>
    </row>
    <row r="7" spans="4:13" x14ac:dyDescent="0.3">
      <c r="D7">
        <f t="shared" si="0"/>
        <v>3</v>
      </c>
      <c r="E7" t="s">
        <v>54</v>
      </c>
      <c r="F7" t="s">
        <v>7</v>
      </c>
      <c r="H7">
        <v>100</v>
      </c>
      <c r="I7" t="s">
        <v>17</v>
      </c>
      <c r="K7" t="s">
        <v>21</v>
      </c>
      <c r="L7" t="s">
        <v>55</v>
      </c>
    </row>
    <row r="8" spans="4:13" x14ac:dyDescent="0.3">
      <c r="D8">
        <f t="shared" si="0"/>
        <v>4</v>
      </c>
      <c r="E8" t="s">
        <v>43</v>
      </c>
      <c r="F8" t="s">
        <v>45</v>
      </c>
      <c r="I8" t="s">
        <v>17</v>
      </c>
      <c r="K8" t="s">
        <v>21</v>
      </c>
      <c r="L8" t="s">
        <v>56</v>
      </c>
      <c r="M8" t="s">
        <v>47</v>
      </c>
    </row>
    <row r="9" spans="4:13" x14ac:dyDescent="0.3">
      <c r="D9">
        <f t="shared" si="0"/>
        <v>5</v>
      </c>
      <c r="E9" t="s">
        <v>44</v>
      </c>
      <c r="F9" t="s">
        <v>45</v>
      </c>
      <c r="I9" t="s">
        <v>17</v>
      </c>
      <c r="K9" t="s">
        <v>21</v>
      </c>
      <c r="L9" t="s">
        <v>57</v>
      </c>
      <c r="M9" t="b">
        <v>1</v>
      </c>
    </row>
    <row r="10" spans="4:13" x14ac:dyDescent="0.3">
      <c r="D10">
        <f t="shared" si="0"/>
        <v>6</v>
      </c>
      <c r="E10" t="s">
        <v>33</v>
      </c>
      <c r="F10" t="s">
        <v>5</v>
      </c>
      <c r="G10" t="s">
        <v>30</v>
      </c>
      <c r="I10" t="s">
        <v>17</v>
      </c>
      <c r="J10" t="s">
        <v>35</v>
      </c>
      <c r="K10" t="s">
        <v>21</v>
      </c>
      <c r="L10" t="s">
        <v>36</v>
      </c>
      <c r="M10" t="s">
        <v>32</v>
      </c>
    </row>
    <row r="11" spans="4:13" x14ac:dyDescent="0.3">
      <c r="D11">
        <f t="shared" si="0"/>
        <v>7</v>
      </c>
      <c r="E11" t="s">
        <v>37</v>
      </c>
      <c r="F11" t="s">
        <v>38</v>
      </c>
      <c r="I11" t="s">
        <v>17</v>
      </c>
      <c r="K11" t="s">
        <v>21</v>
      </c>
      <c r="L11" t="s">
        <v>36</v>
      </c>
      <c r="M11" t="s">
        <v>42</v>
      </c>
    </row>
    <row r="12" spans="4:13" x14ac:dyDescent="0.3">
      <c r="D12">
        <f t="shared" si="0"/>
        <v>8</v>
      </c>
      <c r="E12" t="s">
        <v>48</v>
      </c>
      <c r="F12" t="s">
        <v>5</v>
      </c>
      <c r="G12" t="s">
        <v>30</v>
      </c>
      <c r="I12" t="s">
        <v>27</v>
      </c>
      <c r="J12" t="s">
        <v>35</v>
      </c>
      <c r="K12" t="s">
        <v>21</v>
      </c>
      <c r="L12" t="s">
        <v>36</v>
      </c>
    </row>
    <row r="13" spans="4:13" x14ac:dyDescent="0.3">
      <c r="D13">
        <f t="shared" si="0"/>
        <v>9</v>
      </c>
      <c r="E13" t="s">
        <v>49</v>
      </c>
      <c r="F13" t="s">
        <v>41</v>
      </c>
      <c r="I13" t="s">
        <v>27</v>
      </c>
      <c r="L13" t="s">
        <v>36</v>
      </c>
    </row>
  </sheetData>
  <mergeCells count="1">
    <mergeCell ref="D3:M3"/>
  </mergeCells>
  <phoneticPr fontId="2" type="noConversion"/>
  <dataValidations count="2">
    <dataValidation type="list" allowBlank="1" showInputMessage="1" showErrorMessage="1" sqref="K5:K13" xr:uid="{3A3AB5B3-33A4-41AE-8593-02D39870AC0A}">
      <formula1>"Yes,No"</formula1>
    </dataValidation>
    <dataValidation type="list" allowBlank="1" showInputMessage="1" showErrorMessage="1" sqref="I5:I13" xr:uid="{6066706B-3D91-44B6-A59F-597725CD420F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4963D-4F14-4BBA-AC1F-21C943312948}">
  <dimension ref="D3:M54"/>
  <sheetViews>
    <sheetView topLeftCell="A19" workbookViewId="0">
      <selection activeCell="J43" sqref="J43"/>
    </sheetView>
  </sheetViews>
  <sheetFormatPr defaultRowHeight="14.4" x14ac:dyDescent="0.3"/>
  <cols>
    <col min="4" max="4" width="7.88671875" bestFit="1" customWidth="1"/>
    <col min="5" max="5" width="23.5546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3" bestFit="1" customWidth="1"/>
    <col min="11" max="11" width="7.88671875" bestFit="1" customWidth="1"/>
    <col min="12" max="12" width="41.109375" bestFit="1" customWidth="1"/>
    <col min="13" max="13" width="21.88671875" bestFit="1" customWidth="1"/>
  </cols>
  <sheetData>
    <row r="3" spans="4:13" x14ac:dyDescent="0.3">
      <c r="D3" s="12" t="s">
        <v>58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59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>D5+1</f>
        <v>2</v>
      </c>
      <c r="E6" t="s">
        <v>60</v>
      </c>
      <c r="F6" t="s">
        <v>7</v>
      </c>
      <c r="H6">
        <v>100</v>
      </c>
      <c r="I6" t="s">
        <v>17</v>
      </c>
      <c r="K6" t="s">
        <v>21</v>
      </c>
      <c r="L6" t="s">
        <v>61</v>
      </c>
      <c r="M6" s="1"/>
    </row>
    <row r="7" spans="4:13" x14ac:dyDescent="0.3">
      <c r="D7">
        <f>D6+1</f>
        <v>3</v>
      </c>
      <c r="E7" t="s">
        <v>62</v>
      </c>
      <c r="F7" t="s">
        <v>7</v>
      </c>
      <c r="H7">
        <v>250</v>
      </c>
      <c r="I7" t="s">
        <v>17</v>
      </c>
      <c r="K7" t="s">
        <v>21</v>
      </c>
      <c r="L7" t="s">
        <v>63</v>
      </c>
    </row>
    <row r="8" spans="4:13" x14ac:dyDescent="0.3">
      <c r="D8">
        <f>D7+1</f>
        <v>4</v>
      </c>
      <c r="E8" t="s">
        <v>64</v>
      </c>
      <c r="F8" t="s">
        <v>5</v>
      </c>
      <c r="I8" t="s">
        <v>17</v>
      </c>
      <c r="K8" t="s">
        <v>21</v>
      </c>
      <c r="L8" t="s">
        <v>65</v>
      </c>
    </row>
    <row r="9" spans="4:13" x14ac:dyDescent="0.3">
      <c r="D9">
        <f>D8+1</f>
        <v>5</v>
      </c>
      <c r="E9" t="s">
        <v>46</v>
      </c>
      <c r="F9" t="s">
        <v>5</v>
      </c>
      <c r="J9" t="s">
        <v>89</v>
      </c>
    </row>
    <row r="10" spans="4:13" x14ac:dyDescent="0.3">
      <c r="D10">
        <f>D8+1</f>
        <v>5</v>
      </c>
      <c r="E10" t="s">
        <v>44</v>
      </c>
      <c r="F10" t="s">
        <v>45</v>
      </c>
      <c r="I10" t="s">
        <v>17</v>
      </c>
      <c r="K10" t="s">
        <v>21</v>
      </c>
      <c r="L10" t="s">
        <v>66</v>
      </c>
      <c r="M10" t="b">
        <v>1</v>
      </c>
    </row>
    <row r="11" spans="4:13" x14ac:dyDescent="0.3">
      <c r="D11">
        <f>D10+1</f>
        <v>6</v>
      </c>
      <c r="E11" t="s">
        <v>33</v>
      </c>
      <c r="F11" t="s">
        <v>5</v>
      </c>
      <c r="G11" t="s">
        <v>30</v>
      </c>
      <c r="I11" t="s">
        <v>17</v>
      </c>
      <c r="J11" t="s">
        <v>35</v>
      </c>
      <c r="K11" t="s">
        <v>21</v>
      </c>
      <c r="L11" t="s">
        <v>36</v>
      </c>
      <c r="M11" t="s">
        <v>32</v>
      </c>
    </row>
    <row r="12" spans="4:13" x14ac:dyDescent="0.3">
      <c r="D12">
        <f>D11+1</f>
        <v>7</v>
      </c>
      <c r="E12" t="s">
        <v>37</v>
      </c>
      <c r="F12" t="s">
        <v>38</v>
      </c>
      <c r="I12" t="s">
        <v>17</v>
      </c>
      <c r="K12" t="s">
        <v>21</v>
      </c>
      <c r="L12" t="s">
        <v>36</v>
      </c>
      <c r="M12" t="s">
        <v>42</v>
      </c>
    </row>
    <row r="13" spans="4:13" x14ac:dyDescent="0.3">
      <c r="D13">
        <f>D12+1</f>
        <v>8</v>
      </c>
      <c r="E13" t="s">
        <v>48</v>
      </c>
      <c r="F13" t="s">
        <v>5</v>
      </c>
      <c r="G13" t="s">
        <v>30</v>
      </c>
      <c r="I13" t="s">
        <v>27</v>
      </c>
      <c r="J13" t="s">
        <v>35</v>
      </c>
      <c r="K13" t="s">
        <v>21</v>
      </c>
      <c r="L13" t="s">
        <v>36</v>
      </c>
    </row>
    <row r="14" spans="4:13" x14ac:dyDescent="0.3">
      <c r="D14">
        <f>D13+1</f>
        <v>9</v>
      </c>
      <c r="E14" t="s">
        <v>49</v>
      </c>
      <c r="F14" t="s">
        <v>41</v>
      </c>
      <c r="I14" t="s">
        <v>27</v>
      </c>
      <c r="L14" t="s">
        <v>36</v>
      </c>
    </row>
    <row r="16" spans="4:13" x14ac:dyDescent="0.3">
      <c r="I16" t="s">
        <v>115</v>
      </c>
    </row>
    <row r="17" spans="5:12" x14ac:dyDescent="0.3">
      <c r="I17" t="s">
        <v>104</v>
      </c>
      <c r="J17" t="s">
        <v>99</v>
      </c>
    </row>
    <row r="18" spans="5:12" x14ac:dyDescent="0.3">
      <c r="E18" t="s">
        <v>97</v>
      </c>
      <c r="I18" t="s">
        <v>144</v>
      </c>
      <c r="J18">
        <v>0</v>
      </c>
    </row>
    <row r="19" spans="5:12" x14ac:dyDescent="0.3">
      <c r="E19" t="s">
        <v>98</v>
      </c>
      <c r="F19" t="s">
        <v>99</v>
      </c>
      <c r="I19" s="10">
        <v>340</v>
      </c>
      <c r="J19">
        <v>1</v>
      </c>
    </row>
    <row r="20" spans="5:12" x14ac:dyDescent="0.3">
      <c r="E20" t="s">
        <v>100</v>
      </c>
      <c r="F20">
        <v>0</v>
      </c>
      <c r="I20" s="10">
        <v>405</v>
      </c>
      <c r="J20">
        <v>2</v>
      </c>
    </row>
    <row r="21" spans="5:12" x14ac:dyDescent="0.3">
      <c r="E21" t="s">
        <v>101</v>
      </c>
      <c r="F21">
        <v>1</v>
      </c>
      <c r="I21" s="10">
        <v>450</v>
      </c>
      <c r="J21">
        <v>3</v>
      </c>
    </row>
    <row r="22" spans="5:12" x14ac:dyDescent="0.3">
      <c r="E22" t="s">
        <v>102</v>
      </c>
      <c r="F22">
        <v>2</v>
      </c>
      <c r="I22" s="10">
        <v>505</v>
      </c>
      <c r="J22">
        <v>4</v>
      </c>
    </row>
    <row r="23" spans="5:12" x14ac:dyDescent="0.3">
      <c r="I23" s="10">
        <v>546</v>
      </c>
      <c r="J23">
        <v>5</v>
      </c>
    </row>
    <row r="24" spans="5:12" x14ac:dyDescent="0.3">
      <c r="E24" t="s">
        <v>103</v>
      </c>
      <c r="I24" s="10">
        <v>578</v>
      </c>
      <c r="J24">
        <v>6</v>
      </c>
    </row>
    <row r="25" spans="5:12" x14ac:dyDescent="0.3">
      <c r="E25" t="s">
        <v>104</v>
      </c>
      <c r="F25" t="s">
        <v>99</v>
      </c>
      <c r="I25" s="10">
        <v>620</v>
      </c>
      <c r="J25">
        <v>7</v>
      </c>
    </row>
    <row r="26" spans="5:12" x14ac:dyDescent="0.3">
      <c r="E26" t="s">
        <v>105</v>
      </c>
      <c r="F26">
        <v>1</v>
      </c>
      <c r="I26" s="10">
        <v>670</v>
      </c>
      <c r="J26">
        <v>8</v>
      </c>
      <c r="L26" t="s">
        <v>116</v>
      </c>
    </row>
    <row r="27" spans="5:12" x14ac:dyDescent="0.3">
      <c r="E27" t="s">
        <v>106</v>
      </c>
      <c r="F27">
        <v>2</v>
      </c>
      <c r="I27" s="10">
        <v>700</v>
      </c>
      <c r="J27">
        <v>9</v>
      </c>
    </row>
    <row r="28" spans="5:12" x14ac:dyDescent="0.3">
      <c r="E28" t="s">
        <v>107</v>
      </c>
      <c r="F28">
        <v>3</v>
      </c>
    </row>
    <row r="29" spans="5:12" x14ac:dyDescent="0.3">
      <c r="E29" t="s">
        <v>108</v>
      </c>
      <c r="F29">
        <v>4</v>
      </c>
      <c r="I29" t="s">
        <v>117</v>
      </c>
    </row>
    <row r="30" spans="5:12" x14ac:dyDescent="0.3">
      <c r="E30" t="s">
        <v>109</v>
      </c>
      <c r="F30">
        <v>5</v>
      </c>
      <c r="I30" s="10" t="s">
        <v>118</v>
      </c>
      <c r="J30">
        <v>0</v>
      </c>
    </row>
    <row r="31" spans="5:12" x14ac:dyDescent="0.3">
      <c r="E31" t="s">
        <v>110</v>
      </c>
      <c r="F31">
        <v>6</v>
      </c>
      <c r="I31" s="10" t="s">
        <v>119</v>
      </c>
      <c r="J31">
        <v>1</v>
      </c>
    </row>
    <row r="32" spans="5:12" x14ac:dyDescent="0.3">
      <c r="E32" t="s">
        <v>111</v>
      </c>
      <c r="F32">
        <v>7</v>
      </c>
      <c r="I32" s="10" t="s">
        <v>120</v>
      </c>
      <c r="J32">
        <v>2</v>
      </c>
    </row>
    <row r="33" spans="5:10" x14ac:dyDescent="0.3">
      <c r="E33" t="s">
        <v>112</v>
      </c>
      <c r="F33">
        <v>8</v>
      </c>
    </row>
    <row r="34" spans="5:10" x14ac:dyDescent="0.3">
      <c r="E34" t="s">
        <v>113</v>
      </c>
      <c r="F34">
        <v>9</v>
      </c>
      <c r="I34" s="10" t="s">
        <v>190</v>
      </c>
    </row>
    <row r="35" spans="5:10" x14ac:dyDescent="0.3">
      <c r="E35" t="s">
        <v>114</v>
      </c>
      <c r="F35">
        <v>10</v>
      </c>
      <c r="I35" s="10" t="s">
        <v>104</v>
      </c>
      <c r="J35" t="s">
        <v>99</v>
      </c>
    </row>
    <row r="36" spans="5:10" x14ac:dyDescent="0.3">
      <c r="I36" s="10" t="s">
        <v>130</v>
      </c>
      <c r="J36">
        <v>1</v>
      </c>
    </row>
    <row r="37" spans="5:10" x14ac:dyDescent="0.3">
      <c r="E37" t="s">
        <v>137</v>
      </c>
      <c r="I37" s="10" t="s">
        <v>191</v>
      </c>
      <c r="J37">
        <v>2</v>
      </c>
    </row>
    <row r="38" spans="5:10" x14ac:dyDescent="0.3">
      <c r="E38" t="s">
        <v>98</v>
      </c>
      <c r="F38" t="s">
        <v>99</v>
      </c>
      <c r="I38" s="10" t="s">
        <v>129</v>
      </c>
      <c r="J38">
        <v>3</v>
      </c>
    </row>
    <row r="39" spans="5:10" x14ac:dyDescent="0.3">
      <c r="E39" t="s">
        <v>121</v>
      </c>
      <c r="F39">
        <v>1</v>
      </c>
    </row>
    <row r="40" spans="5:10" x14ac:dyDescent="0.3">
      <c r="E40" t="s">
        <v>122</v>
      </c>
      <c r="F40">
        <v>2</v>
      </c>
    </row>
    <row r="41" spans="5:10" x14ac:dyDescent="0.3">
      <c r="E41" t="s">
        <v>123</v>
      </c>
      <c r="F41">
        <v>3</v>
      </c>
    </row>
    <row r="42" spans="5:10" x14ac:dyDescent="0.3">
      <c r="E42" t="s">
        <v>124</v>
      </c>
      <c r="F42">
        <v>4</v>
      </c>
    </row>
    <row r="43" spans="5:10" x14ac:dyDescent="0.3">
      <c r="E43" t="s">
        <v>125</v>
      </c>
      <c r="F43">
        <v>5</v>
      </c>
    </row>
    <row r="44" spans="5:10" x14ac:dyDescent="0.3">
      <c r="E44" t="s">
        <v>126</v>
      </c>
      <c r="F44">
        <v>6</v>
      </c>
    </row>
    <row r="45" spans="5:10" x14ac:dyDescent="0.3">
      <c r="E45" t="s">
        <v>127</v>
      </c>
      <c r="F45">
        <v>7</v>
      </c>
    </row>
    <row r="46" spans="5:10" x14ac:dyDescent="0.3">
      <c r="E46" t="s">
        <v>128</v>
      </c>
      <c r="F46">
        <v>8</v>
      </c>
    </row>
    <row r="47" spans="5:10" x14ac:dyDescent="0.3">
      <c r="E47" t="s">
        <v>129</v>
      </c>
      <c r="F47">
        <v>9</v>
      </c>
    </row>
    <row r="48" spans="5:10" x14ac:dyDescent="0.3">
      <c r="E48" t="s">
        <v>130</v>
      </c>
      <c r="F48">
        <v>10</v>
      </c>
    </row>
    <row r="49" spans="5:6" x14ac:dyDescent="0.3">
      <c r="E49" t="s">
        <v>131</v>
      </c>
      <c r="F49">
        <v>11</v>
      </c>
    </row>
    <row r="50" spans="5:6" x14ac:dyDescent="0.3">
      <c r="E50" t="s">
        <v>132</v>
      </c>
      <c r="F50">
        <v>12</v>
      </c>
    </row>
    <row r="51" spans="5:6" x14ac:dyDescent="0.3">
      <c r="E51" t="s">
        <v>133</v>
      </c>
      <c r="F51">
        <v>13</v>
      </c>
    </row>
    <row r="52" spans="5:6" x14ac:dyDescent="0.3">
      <c r="E52" t="s">
        <v>134</v>
      </c>
      <c r="F52">
        <v>14</v>
      </c>
    </row>
    <row r="53" spans="5:6" x14ac:dyDescent="0.3">
      <c r="E53" t="s">
        <v>135</v>
      </c>
      <c r="F53">
        <v>15</v>
      </c>
    </row>
    <row r="54" spans="5:6" x14ac:dyDescent="0.3">
      <c r="E54" t="s">
        <v>136</v>
      </c>
      <c r="F54">
        <v>16</v>
      </c>
    </row>
  </sheetData>
  <mergeCells count="1">
    <mergeCell ref="D3:M3"/>
  </mergeCells>
  <dataValidations disablePrompts="1" count="2">
    <dataValidation type="list" allowBlank="1" showInputMessage="1" showErrorMessage="1" sqref="I5:I14" xr:uid="{6FB24C96-BC15-4F6F-A971-9F7440F32883}">
      <formula1>"AUTO_INCREMENT,*,Nullable"</formula1>
    </dataValidation>
    <dataValidation type="list" allowBlank="1" showInputMessage="1" showErrorMessage="1" sqref="K5:K14" xr:uid="{D051FB3D-F8BB-4A65-9008-A78393756C82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8D507-62A2-4E68-A719-F8A41F762AC8}">
  <dimension ref="D3:M13"/>
  <sheetViews>
    <sheetView workbookViewId="0">
      <selection activeCell="G19" sqref="G19"/>
    </sheetView>
  </sheetViews>
  <sheetFormatPr defaultRowHeight="14.4" x14ac:dyDescent="0.3"/>
  <cols>
    <col min="4" max="4" width="7.88671875" bestFit="1" customWidth="1"/>
    <col min="5" max="5" width="24.21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13.6640625" bestFit="1" customWidth="1"/>
    <col min="11" max="11" width="7.88671875" bestFit="1" customWidth="1"/>
    <col min="12" max="12" width="27.6640625" bestFit="1" customWidth="1"/>
    <col min="13" max="13" width="21.88671875" bestFit="1" customWidth="1"/>
  </cols>
  <sheetData>
    <row r="3" spans="4:13" x14ac:dyDescent="0.3">
      <c r="D3" s="12" t="s">
        <v>67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68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>D5+1</f>
        <v>2</v>
      </c>
      <c r="E6" t="s">
        <v>69</v>
      </c>
      <c r="F6" t="s">
        <v>7</v>
      </c>
      <c r="H6">
        <v>100</v>
      </c>
      <c r="I6" t="s">
        <v>17</v>
      </c>
      <c r="K6" t="s">
        <v>21</v>
      </c>
      <c r="L6" t="s">
        <v>70</v>
      </c>
      <c r="M6" s="1"/>
    </row>
    <row r="7" spans="4:13" x14ac:dyDescent="0.3">
      <c r="D7">
        <f>D6+1</f>
        <v>3</v>
      </c>
      <c r="E7" t="s">
        <v>71</v>
      </c>
      <c r="F7" t="s">
        <v>7</v>
      </c>
      <c r="H7">
        <v>250</v>
      </c>
      <c r="I7" t="s">
        <v>17</v>
      </c>
      <c r="K7" t="s">
        <v>21</v>
      </c>
      <c r="L7" t="s">
        <v>72</v>
      </c>
    </row>
    <row r="8" spans="4:13" x14ac:dyDescent="0.3">
      <c r="D8">
        <f>D7+1</f>
        <v>4</v>
      </c>
      <c r="E8" t="s">
        <v>245</v>
      </c>
      <c r="F8" t="s">
        <v>45</v>
      </c>
      <c r="I8" t="s">
        <v>17</v>
      </c>
      <c r="L8" t="s">
        <v>246</v>
      </c>
      <c r="M8" t="b">
        <v>1</v>
      </c>
    </row>
    <row r="9" spans="4:13" x14ac:dyDescent="0.3">
      <c r="D9">
        <f>D7+1</f>
        <v>4</v>
      </c>
      <c r="E9" t="s">
        <v>44</v>
      </c>
      <c r="F9" t="s">
        <v>45</v>
      </c>
      <c r="I9" t="s">
        <v>17</v>
      </c>
      <c r="K9" t="s">
        <v>21</v>
      </c>
      <c r="L9" t="s">
        <v>66</v>
      </c>
      <c r="M9" t="b">
        <v>1</v>
      </c>
    </row>
    <row r="10" spans="4:13" x14ac:dyDescent="0.3">
      <c r="D10">
        <f t="shared" ref="D10:D13" si="0">D9+1</f>
        <v>5</v>
      </c>
      <c r="E10" t="s">
        <v>33</v>
      </c>
      <c r="F10" t="s">
        <v>5</v>
      </c>
      <c r="G10" t="s">
        <v>30</v>
      </c>
      <c r="I10" t="s">
        <v>17</v>
      </c>
      <c r="J10" t="s">
        <v>35</v>
      </c>
      <c r="K10" t="s">
        <v>21</v>
      </c>
      <c r="L10" t="s">
        <v>36</v>
      </c>
      <c r="M10" t="s">
        <v>32</v>
      </c>
    </row>
    <row r="11" spans="4:13" x14ac:dyDescent="0.3">
      <c r="D11">
        <f t="shared" si="0"/>
        <v>6</v>
      </c>
      <c r="E11" t="s">
        <v>37</v>
      </c>
      <c r="F11" t="s">
        <v>38</v>
      </c>
      <c r="I11" t="s">
        <v>17</v>
      </c>
      <c r="K11" t="s">
        <v>21</v>
      </c>
      <c r="L11" t="s">
        <v>36</v>
      </c>
      <c r="M11" t="s">
        <v>42</v>
      </c>
    </row>
    <row r="12" spans="4:13" x14ac:dyDescent="0.3">
      <c r="D12">
        <f t="shared" si="0"/>
        <v>7</v>
      </c>
      <c r="E12" t="s">
        <v>48</v>
      </c>
      <c r="F12" t="s">
        <v>5</v>
      </c>
      <c r="G12" t="s">
        <v>30</v>
      </c>
      <c r="I12" t="s">
        <v>27</v>
      </c>
      <c r="J12" t="s">
        <v>35</v>
      </c>
      <c r="K12" t="s">
        <v>21</v>
      </c>
      <c r="L12" t="s">
        <v>36</v>
      </c>
    </row>
    <row r="13" spans="4:13" x14ac:dyDescent="0.3">
      <c r="D13">
        <f t="shared" si="0"/>
        <v>8</v>
      </c>
      <c r="E13" t="s">
        <v>49</v>
      </c>
      <c r="F13" t="s">
        <v>41</v>
      </c>
      <c r="I13" t="s">
        <v>27</v>
      </c>
      <c r="L13" t="s">
        <v>36</v>
      </c>
    </row>
  </sheetData>
  <mergeCells count="1">
    <mergeCell ref="D3:M3"/>
  </mergeCells>
  <dataValidations count="2">
    <dataValidation type="list" allowBlank="1" showInputMessage="1" showErrorMessage="1" sqref="K5:K13" xr:uid="{876AB9C3-B528-4E1C-88D1-23C334709536}">
      <formula1>"Yes,No"</formula1>
    </dataValidation>
    <dataValidation type="list" allowBlank="1" showInputMessage="1" showErrorMessage="1" sqref="I5:I13" xr:uid="{12A682DB-D494-4020-9A59-4548014B45DC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BF12-1514-4440-9293-E07F98F9DB3A}">
  <dimension ref="D3:M14"/>
  <sheetViews>
    <sheetView workbookViewId="0">
      <selection activeCell="I18" sqref="I18"/>
    </sheetView>
  </sheetViews>
  <sheetFormatPr defaultRowHeight="14.4" x14ac:dyDescent="0.3"/>
  <cols>
    <col min="4" max="4" width="7.88671875" bestFit="1" customWidth="1"/>
    <col min="5" max="5" width="19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18.886718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3" x14ac:dyDescent="0.3">
      <c r="D3" s="12" t="s">
        <v>73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 s="21">
        <v>1</v>
      </c>
      <c r="E5" s="21" t="s">
        <v>74</v>
      </c>
      <c r="F5" s="21" t="s">
        <v>5</v>
      </c>
      <c r="G5" s="21" t="s">
        <v>15</v>
      </c>
      <c r="H5" s="21"/>
      <c r="I5" s="21" t="s">
        <v>20</v>
      </c>
      <c r="J5" s="21"/>
      <c r="K5" s="21" t="s">
        <v>18</v>
      </c>
      <c r="L5" s="21"/>
      <c r="M5" s="21"/>
    </row>
    <row r="6" spans="4:13" x14ac:dyDescent="0.3">
      <c r="D6" s="21">
        <f>D5+1</f>
        <v>2</v>
      </c>
      <c r="E6" s="21" t="s">
        <v>256</v>
      </c>
      <c r="F6" s="21" t="s">
        <v>5</v>
      </c>
      <c r="G6" s="21"/>
      <c r="H6" s="21"/>
      <c r="I6" s="21" t="s">
        <v>17</v>
      </c>
      <c r="J6" s="21" t="s">
        <v>75</v>
      </c>
      <c r="K6" s="21" t="s">
        <v>21</v>
      </c>
      <c r="L6" s="21" t="s">
        <v>70</v>
      </c>
      <c r="M6" s="22"/>
    </row>
    <row r="7" spans="4:13" x14ac:dyDescent="0.3">
      <c r="D7" s="21">
        <f>D6+1</f>
        <v>3</v>
      </c>
      <c r="E7" s="21" t="s">
        <v>257</v>
      </c>
      <c r="F7" s="21" t="s">
        <v>5</v>
      </c>
      <c r="G7" s="21"/>
      <c r="H7" s="21"/>
      <c r="I7" s="21" t="s">
        <v>17</v>
      </c>
      <c r="J7" s="21" t="s">
        <v>75</v>
      </c>
      <c r="K7" s="21" t="s">
        <v>21</v>
      </c>
      <c r="L7" s="21" t="s">
        <v>72</v>
      </c>
      <c r="M7" s="21"/>
    </row>
    <row r="8" spans="4:13" x14ac:dyDescent="0.3">
      <c r="D8" s="21">
        <f t="shared" ref="D8" si="0">D7+1</f>
        <v>4</v>
      </c>
      <c r="E8" s="21" t="s">
        <v>44</v>
      </c>
      <c r="F8" s="21" t="s">
        <v>45</v>
      </c>
      <c r="G8" s="21"/>
      <c r="H8" s="21"/>
      <c r="I8" s="21" t="s">
        <v>17</v>
      </c>
      <c r="J8" s="21"/>
      <c r="K8" s="21" t="s">
        <v>21</v>
      </c>
      <c r="L8" s="21" t="s">
        <v>66</v>
      </c>
      <c r="M8" s="21" t="b">
        <v>1</v>
      </c>
    </row>
    <row r="9" spans="4:13" ht="43.2" x14ac:dyDescent="0.3">
      <c r="D9" s="21">
        <f>D8+1</f>
        <v>5</v>
      </c>
      <c r="E9" s="21" t="s">
        <v>258</v>
      </c>
      <c r="F9" s="21" t="s">
        <v>187</v>
      </c>
      <c r="G9" s="21"/>
      <c r="H9" s="21"/>
      <c r="I9" s="21" t="s">
        <v>17</v>
      </c>
      <c r="J9" s="21"/>
      <c r="K9" s="21"/>
      <c r="L9" s="10" t="s">
        <v>247</v>
      </c>
      <c r="M9" s="21"/>
    </row>
    <row r="10" spans="4:13" x14ac:dyDescent="0.3">
      <c r="D10" s="21">
        <f t="shared" ref="D10:D14" si="1">D9+1</f>
        <v>6</v>
      </c>
      <c r="E10" s="21" t="s">
        <v>259</v>
      </c>
      <c r="F10" s="21" t="s">
        <v>187</v>
      </c>
      <c r="G10" s="21"/>
      <c r="H10" s="21"/>
      <c r="I10" s="21" t="s">
        <v>17</v>
      </c>
      <c r="J10" s="21"/>
      <c r="K10" s="21" t="s">
        <v>21</v>
      </c>
      <c r="L10" s="10"/>
      <c r="M10" s="21" t="b">
        <v>1</v>
      </c>
    </row>
    <row r="11" spans="4:13" x14ac:dyDescent="0.3">
      <c r="D11" s="21">
        <f>D10+1</f>
        <v>7</v>
      </c>
      <c r="E11" s="21" t="s">
        <v>33</v>
      </c>
      <c r="F11" s="21" t="s">
        <v>5</v>
      </c>
      <c r="G11" s="21" t="s">
        <v>30</v>
      </c>
      <c r="H11" s="21"/>
      <c r="I11" s="21" t="s">
        <v>17</v>
      </c>
      <c r="J11" s="21" t="s">
        <v>35</v>
      </c>
      <c r="K11" s="21" t="s">
        <v>21</v>
      </c>
      <c r="L11" s="21" t="s">
        <v>36</v>
      </c>
      <c r="M11" s="21" t="s">
        <v>32</v>
      </c>
    </row>
    <row r="12" spans="4:13" x14ac:dyDescent="0.3">
      <c r="D12" s="21">
        <f t="shared" si="1"/>
        <v>8</v>
      </c>
      <c r="E12" s="21" t="s">
        <v>37</v>
      </c>
      <c r="F12" s="21" t="s">
        <v>38</v>
      </c>
      <c r="G12" s="21"/>
      <c r="H12" s="21"/>
      <c r="I12" s="21" t="s">
        <v>17</v>
      </c>
      <c r="J12" s="21"/>
      <c r="K12" s="21" t="s">
        <v>21</v>
      </c>
      <c r="L12" s="21" t="s">
        <v>36</v>
      </c>
      <c r="M12" s="21" t="s">
        <v>42</v>
      </c>
    </row>
    <row r="13" spans="4:13" x14ac:dyDescent="0.3">
      <c r="D13" s="21">
        <f t="shared" si="1"/>
        <v>9</v>
      </c>
      <c r="E13" s="21" t="s">
        <v>48</v>
      </c>
      <c r="F13" s="21" t="s">
        <v>5</v>
      </c>
      <c r="G13" s="21" t="s">
        <v>30</v>
      </c>
      <c r="H13" s="21"/>
      <c r="I13" s="21" t="s">
        <v>27</v>
      </c>
      <c r="J13" s="21" t="s">
        <v>35</v>
      </c>
      <c r="K13" s="21" t="s">
        <v>21</v>
      </c>
      <c r="L13" s="21" t="s">
        <v>36</v>
      </c>
      <c r="M13" s="21"/>
    </row>
    <row r="14" spans="4:13" x14ac:dyDescent="0.3">
      <c r="D14" s="21">
        <f t="shared" si="1"/>
        <v>10</v>
      </c>
      <c r="E14" s="21" t="s">
        <v>49</v>
      </c>
      <c r="F14" s="21" t="s">
        <v>41</v>
      </c>
      <c r="G14" s="21"/>
      <c r="H14" s="21"/>
      <c r="I14" s="21" t="s">
        <v>27</v>
      </c>
      <c r="J14" s="21"/>
      <c r="K14" s="21"/>
      <c r="L14" s="21" t="s">
        <v>36</v>
      </c>
      <c r="M14" s="21"/>
    </row>
  </sheetData>
  <mergeCells count="1">
    <mergeCell ref="D3:M3"/>
  </mergeCells>
  <dataValidations count="2">
    <dataValidation type="list" allowBlank="1" showInputMessage="1" showErrorMessage="1" sqref="I5:I14" xr:uid="{82490E46-AE2E-4D7D-A700-9968C1FD5122}">
      <formula1>"AUTO_INCREMENT,*,Nullable"</formula1>
    </dataValidation>
    <dataValidation type="list" allowBlank="1" showInputMessage="1" showErrorMessage="1" sqref="K5:K14" xr:uid="{C36731E9-1A9B-40D7-A9D4-735AE78833DE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8E4E9-9803-4680-8BE3-02F538AF2E94}">
  <dimension ref="D3:M21"/>
  <sheetViews>
    <sheetView workbookViewId="0">
      <selection activeCell="C28" sqref="C28"/>
    </sheetView>
  </sheetViews>
  <sheetFormatPr defaultRowHeight="14.4" x14ac:dyDescent="0.3"/>
  <cols>
    <col min="4" max="4" width="7.88671875" bestFit="1" customWidth="1"/>
    <col min="5" max="5" width="14.777343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28.77734375" bestFit="1" customWidth="1"/>
    <col min="13" max="13" width="21.88671875" bestFit="1" customWidth="1"/>
  </cols>
  <sheetData>
    <row r="3" spans="4:13" x14ac:dyDescent="0.3">
      <c r="D3" s="12" t="s">
        <v>76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s="21" t="s">
        <v>1</v>
      </c>
      <c r="E4" s="21" t="s">
        <v>2</v>
      </c>
      <c r="F4" s="21" t="s">
        <v>3</v>
      </c>
      <c r="G4" s="21" t="s">
        <v>14</v>
      </c>
      <c r="H4" s="21" t="s">
        <v>8</v>
      </c>
      <c r="I4" s="21" t="s">
        <v>9</v>
      </c>
      <c r="J4" s="21" t="s">
        <v>10</v>
      </c>
      <c r="K4" s="21" t="s">
        <v>11</v>
      </c>
      <c r="L4" s="21" t="s">
        <v>12</v>
      </c>
      <c r="M4" s="21" t="s">
        <v>13</v>
      </c>
    </row>
    <row r="5" spans="4:13" x14ac:dyDescent="0.3">
      <c r="D5" s="21">
        <v>1</v>
      </c>
      <c r="E5" s="21" t="s">
        <v>77</v>
      </c>
      <c r="F5" s="21" t="s">
        <v>5</v>
      </c>
      <c r="G5" s="21" t="s">
        <v>15</v>
      </c>
      <c r="H5" s="21"/>
      <c r="I5" s="21" t="s">
        <v>20</v>
      </c>
      <c r="J5" s="21"/>
      <c r="K5" s="21" t="s">
        <v>18</v>
      </c>
      <c r="L5" s="21"/>
      <c r="M5" s="21"/>
    </row>
    <row r="6" spans="4:13" x14ac:dyDescent="0.3">
      <c r="D6" s="21">
        <f>D5+1</f>
        <v>2</v>
      </c>
      <c r="E6" s="21" t="s">
        <v>78</v>
      </c>
      <c r="F6" s="21" t="s">
        <v>7</v>
      </c>
      <c r="G6" s="21" t="s">
        <v>80</v>
      </c>
      <c r="H6" s="21">
        <v>10</v>
      </c>
      <c r="I6" s="21" t="s">
        <v>17</v>
      </c>
      <c r="J6" s="21"/>
      <c r="K6" s="21" t="s">
        <v>21</v>
      </c>
      <c r="L6" s="21" t="s">
        <v>78</v>
      </c>
      <c r="M6" s="22"/>
    </row>
    <row r="7" spans="4:13" x14ac:dyDescent="0.3">
      <c r="D7" s="21">
        <f>D6+1</f>
        <v>3</v>
      </c>
      <c r="E7" s="21" t="s">
        <v>79</v>
      </c>
      <c r="F7" s="21" t="s">
        <v>7</v>
      </c>
      <c r="G7" s="21"/>
      <c r="H7" s="21">
        <v>250</v>
      </c>
      <c r="I7" s="21" t="s">
        <v>17</v>
      </c>
      <c r="J7" s="21"/>
      <c r="K7" s="21" t="s">
        <v>21</v>
      </c>
      <c r="L7" s="21" t="s">
        <v>141</v>
      </c>
      <c r="M7" s="21"/>
    </row>
    <row r="8" spans="4:13" x14ac:dyDescent="0.3">
      <c r="D8" s="21">
        <f t="shared" ref="D8:D21" si="0">D7+1</f>
        <v>4</v>
      </c>
      <c r="E8" s="21" t="s">
        <v>44</v>
      </c>
      <c r="F8" s="21" t="s">
        <v>45</v>
      </c>
      <c r="G8" s="21"/>
      <c r="H8" s="21"/>
      <c r="I8" s="21" t="s">
        <v>17</v>
      </c>
      <c r="J8" s="21"/>
      <c r="K8" s="21" t="s">
        <v>21</v>
      </c>
      <c r="L8" s="21" t="s">
        <v>66</v>
      </c>
      <c r="M8" s="21" t="b">
        <v>1</v>
      </c>
    </row>
    <row r="9" spans="4:13" x14ac:dyDescent="0.3">
      <c r="D9" s="21">
        <f t="shared" si="0"/>
        <v>5</v>
      </c>
      <c r="E9" s="21" t="s">
        <v>256</v>
      </c>
      <c r="F9" s="21" t="s">
        <v>5</v>
      </c>
      <c r="G9" s="21"/>
      <c r="H9" s="21"/>
      <c r="I9" s="21"/>
      <c r="J9" s="23" t="s">
        <v>93</v>
      </c>
      <c r="K9" s="21" t="s">
        <v>21</v>
      </c>
      <c r="L9" s="21" t="s">
        <v>261</v>
      </c>
      <c r="M9" s="21">
        <v>1</v>
      </c>
    </row>
    <row r="10" spans="4:13" ht="43.2" x14ac:dyDescent="0.3">
      <c r="D10" s="21">
        <f>D9+1</f>
        <v>6</v>
      </c>
      <c r="E10" s="21" t="s">
        <v>260</v>
      </c>
      <c r="F10" s="21"/>
      <c r="G10" s="21"/>
      <c r="H10" s="21"/>
      <c r="I10" s="21"/>
      <c r="J10" s="23" t="s">
        <v>93</v>
      </c>
      <c r="K10" s="21"/>
      <c r="L10" s="10" t="s">
        <v>262</v>
      </c>
      <c r="M10" s="21"/>
    </row>
    <row r="11" spans="4:13" x14ac:dyDescent="0.3">
      <c r="D11" s="21">
        <f>D9+1</f>
        <v>6</v>
      </c>
      <c r="E11" s="21" t="s">
        <v>81</v>
      </c>
      <c r="F11" s="21" t="s">
        <v>45</v>
      </c>
      <c r="G11" s="21"/>
      <c r="H11" s="21"/>
      <c r="I11" s="21" t="s">
        <v>17</v>
      </c>
      <c r="J11" s="21"/>
      <c r="K11" s="21" t="s">
        <v>21</v>
      </c>
      <c r="L11" s="21" t="s">
        <v>88</v>
      </c>
      <c r="M11" s="21"/>
    </row>
    <row r="12" spans="4:13" x14ac:dyDescent="0.3">
      <c r="D12" s="21">
        <f t="shared" si="0"/>
        <v>7</v>
      </c>
      <c r="E12" s="21" t="s">
        <v>82</v>
      </c>
      <c r="F12" s="21" t="s">
        <v>5</v>
      </c>
      <c r="G12" s="21"/>
      <c r="H12" s="21"/>
      <c r="I12" s="21" t="s">
        <v>17</v>
      </c>
      <c r="J12" s="21" t="s">
        <v>92</v>
      </c>
      <c r="K12" s="21" t="s">
        <v>21</v>
      </c>
      <c r="L12" s="21" t="s">
        <v>90</v>
      </c>
      <c r="M12" s="21">
        <v>1</v>
      </c>
    </row>
    <row r="13" spans="4:13" x14ac:dyDescent="0.3">
      <c r="D13" s="21">
        <f t="shared" si="0"/>
        <v>8</v>
      </c>
      <c r="E13" s="21" t="s">
        <v>83</v>
      </c>
      <c r="F13" s="21" t="s">
        <v>5</v>
      </c>
      <c r="G13" s="21"/>
      <c r="H13" s="21"/>
      <c r="I13" s="21" t="s">
        <v>17</v>
      </c>
      <c r="J13" s="21" t="s">
        <v>92</v>
      </c>
      <c r="K13" s="21" t="s">
        <v>21</v>
      </c>
      <c r="L13" s="21" t="s">
        <v>91</v>
      </c>
      <c r="M13" s="21">
        <v>1</v>
      </c>
    </row>
    <row r="14" spans="4:13" x14ac:dyDescent="0.3">
      <c r="D14" s="21">
        <f t="shared" si="0"/>
        <v>9</v>
      </c>
      <c r="E14" s="21" t="s">
        <v>84</v>
      </c>
      <c r="F14" s="21" t="s">
        <v>5</v>
      </c>
      <c r="G14" s="21"/>
      <c r="H14" s="21">
        <v>2</v>
      </c>
      <c r="I14" s="21" t="s">
        <v>17</v>
      </c>
      <c r="J14" s="21"/>
      <c r="K14" s="21" t="s">
        <v>21</v>
      </c>
      <c r="L14" s="21" t="s">
        <v>95</v>
      </c>
      <c r="M14" s="21">
        <v>1</v>
      </c>
    </row>
    <row r="15" spans="4:13" x14ac:dyDescent="0.3">
      <c r="D15" s="21">
        <f t="shared" si="0"/>
        <v>10</v>
      </c>
      <c r="E15" s="21" t="s">
        <v>85</v>
      </c>
      <c r="F15" s="21" t="s">
        <v>5</v>
      </c>
      <c r="G15" s="21"/>
      <c r="H15" s="21">
        <v>4</v>
      </c>
      <c r="I15" s="21" t="s">
        <v>17</v>
      </c>
      <c r="J15" s="21"/>
      <c r="K15" s="21" t="s">
        <v>21</v>
      </c>
      <c r="L15" s="21" t="s">
        <v>94</v>
      </c>
      <c r="M15" s="21">
        <v>2</v>
      </c>
    </row>
    <row r="16" spans="4:13" x14ac:dyDescent="0.3">
      <c r="D16" s="21">
        <f t="shared" si="0"/>
        <v>11</v>
      </c>
      <c r="E16" s="21" t="s">
        <v>86</v>
      </c>
      <c r="F16" s="21" t="s">
        <v>5</v>
      </c>
      <c r="G16" s="21"/>
      <c r="H16" s="21"/>
      <c r="I16" s="21" t="s">
        <v>17</v>
      </c>
      <c r="J16" s="21" t="s">
        <v>92</v>
      </c>
      <c r="K16" s="21" t="s">
        <v>21</v>
      </c>
      <c r="L16" s="21" t="s">
        <v>96</v>
      </c>
      <c r="M16" s="21">
        <v>0</v>
      </c>
    </row>
    <row r="17" spans="4:13" x14ac:dyDescent="0.3">
      <c r="D17" s="21">
        <f t="shared" si="0"/>
        <v>12</v>
      </c>
      <c r="E17" s="21" t="s">
        <v>87</v>
      </c>
      <c r="F17" s="21" t="s">
        <v>5</v>
      </c>
      <c r="G17" s="21"/>
      <c r="H17" s="21"/>
      <c r="I17" s="21" t="s">
        <v>20</v>
      </c>
      <c r="J17" s="21"/>
      <c r="K17" s="21" t="s">
        <v>21</v>
      </c>
      <c r="L17" s="21"/>
      <c r="M17" s="21"/>
    </row>
    <row r="18" spans="4:13" x14ac:dyDescent="0.3">
      <c r="D18" s="21">
        <f t="shared" si="0"/>
        <v>13</v>
      </c>
      <c r="E18" s="24" t="s">
        <v>33</v>
      </c>
      <c r="F18" s="24" t="s">
        <v>5</v>
      </c>
      <c r="G18" s="24" t="s">
        <v>30</v>
      </c>
      <c r="H18" s="24"/>
      <c r="I18" s="24" t="s">
        <v>17</v>
      </c>
      <c r="J18" s="24" t="s">
        <v>35</v>
      </c>
      <c r="K18" s="24" t="s">
        <v>21</v>
      </c>
      <c r="L18" s="24" t="s">
        <v>36</v>
      </c>
      <c r="M18" s="25" t="s">
        <v>32</v>
      </c>
    </row>
    <row r="19" spans="4:13" x14ac:dyDescent="0.3">
      <c r="D19" s="21">
        <f t="shared" si="0"/>
        <v>14</v>
      </c>
      <c r="E19" s="26" t="s">
        <v>37</v>
      </c>
      <c r="F19" s="26" t="s">
        <v>38</v>
      </c>
      <c r="G19" s="26"/>
      <c r="H19" s="26"/>
      <c r="I19" s="26" t="s">
        <v>17</v>
      </c>
      <c r="J19" s="26"/>
      <c r="K19" s="26" t="s">
        <v>21</v>
      </c>
      <c r="L19" s="26" t="s">
        <v>36</v>
      </c>
      <c r="M19" s="27" t="s">
        <v>42</v>
      </c>
    </row>
    <row r="20" spans="4:13" x14ac:dyDescent="0.3">
      <c r="D20" s="21">
        <f t="shared" si="0"/>
        <v>15</v>
      </c>
      <c r="E20" s="24" t="s">
        <v>48</v>
      </c>
      <c r="F20" s="24" t="s">
        <v>5</v>
      </c>
      <c r="G20" s="24" t="s">
        <v>30</v>
      </c>
      <c r="H20" s="24"/>
      <c r="I20" s="24" t="s">
        <v>27</v>
      </c>
      <c r="J20" s="24" t="s">
        <v>35</v>
      </c>
      <c r="K20" s="24" t="s">
        <v>21</v>
      </c>
      <c r="L20" s="24" t="s">
        <v>36</v>
      </c>
      <c r="M20" s="25"/>
    </row>
    <row r="21" spans="4:13" x14ac:dyDescent="0.3">
      <c r="D21" s="21">
        <f t="shared" si="0"/>
        <v>16</v>
      </c>
      <c r="E21" s="28" t="s">
        <v>49</v>
      </c>
      <c r="F21" s="28" t="s">
        <v>41</v>
      </c>
      <c r="G21" s="28"/>
      <c r="H21" s="28"/>
      <c r="I21" s="28" t="s">
        <v>27</v>
      </c>
      <c r="J21" s="28"/>
      <c r="K21" s="28"/>
      <c r="L21" s="28" t="s">
        <v>36</v>
      </c>
      <c r="M21" s="29"/>
    </row>
  </sheetData>
  <mergeCells count="1">
    <mergeCell ref="D3:M3"/>
  </mergeCells>
  <dataValidations count="2">
    <dataValidation type="list" allowBlank="1" showInputMessage="1" showErrorMessage="1" sqref="I5:I8 I11:I21" xr:uid="{52F0AE79-E4C9-4B6B-94B6-F486A83E900D}">
      <formula1>"AUTO_INCREMENT,*,Nullable"</formula1>
    </dataValidation>
    <dataValidation type="list" allowBlank="1" showInputMessage="1" showErrorMessage="1" sqref="K5:K8 K11:K21" xr:uid="{0254CD9A-C17D-4FAD-A4F4-5EC1E5DB2AFA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1299-8347-446F-95AA-6686487D8AFF}">
  <dimension ref="D3:M32"/>
  <sheetViews>
    <sheetView topLeftCell="A10" workbookViewId="0">
      <selection activeCell="D29" sqref="D29:M32"/>
    </sheetView>
  </sheetViews>
  <sheetFormatPr defaultRowHeight="14.4" x14ac:dyDescent="0.3"/>
  <cols>
    <col min="4" max="4" width="3" bestFit="1" customWidth="1"/>
    <col min="5" max="5" width="20" bestFit="1" customWidth="1"/>
    <col min="6" max="6" width="9" bestFit="1" customWidth="1"/>
    <col min="7" max="7" width="10.109375" bestFit="1" customWidth="1"/>
    <col min="8" max="8" width="8.77734375" bestFit="1" customWidth="1"/>
    <col min="9" max="9" width="17" bestFit="1" customWidth="1"/>
    <col min="10" max="10" width="35.21875" bestFit="1" customWidth="1"/>
    <col min="11" max="11" width="3.77734375" bestFit="1" customWidth="1"/>
    <col min="12" max="12" width="27.88671875" bestFit="1" customWidth="1"/>
    <col min="13" max="13" width="21.88671875" bestFit="1" customWidth="1"/>
  </cols>
  <sheetData>
    <row r="3" spans="4:13" x14ac:dyDescent="0.3">
      <c r="D3" s="12" t="s">
        <v>138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139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>D5+1</f>
        <v>2</v>
      </c>
      <c r="E6" t="s">
        <v>77</v>
      </c>
      <c r="F6" t="s">
        <v>5</v>
      </c>
      <c r="J6" t="s">
        <v>165</v>
      </c>
      <c r="K6" t="s">
        <v>18</v>
      </c>
      <c r="L6" t="s">
        <v>140</v>
      </c>
      <c r="M6" s="1"/>
    </row>
    <row r="7" spans="4:13" x14ac:dyDescent="0.3">
      <c r="D7">
        <f>D6+1</f>
        <v>3</v>
      </c>
      <c r="E7" t="s">
        <v>142</v>
      </c>
      <c r="F7" t="s">
        <v>5</v>
      </c>
      <c r="G7" t="s">
        <v>10</v>
      </c>
      <c r="H7">
        <v>9</v>
      </c>
      <c r="I7" t="s">
        <v>17</v>
      </c>
      <c r="J7" t="s">
        <v>92</v>
      </c>
      <c r="K7" t="s">
        <v>21</v>
      </c>
      <c r="L7" t="s">
        <v>166</v>
      </c>
      <c r="M7">
        <v>1</v>
      </c>
    </row>
    <row r="8" spans="4:13" x14ac:dyDescent="0.3">
      <c r="D8">
        <f t="shared" ref="D8:D9" si="0">D7+1</f>
        <v>4</v>
      </c>
      <c r="E8" t="s">
        <v>143</v>
      </c>
      <c r="F8" t="s">
        <v>5</v>
      </c>
      <c r="G8" t="s">
        <v>10</v>
      </c>
      <c r="H8">
        <v>9</v>
      </c>
      <c r="J8" t="s">
        <v>92</v>
      </c>
      <c r="K8" t="s">
        <v>21</v>
      </c>
      <c r="L8" t="s">
        <v>167</v>
      </c>
      <c r="M8">
        <v>0</v>
      </c>
    </row>
    <row r="9" spans="4:13" x14ac:dyDescent="0.3">
      <c r="D9">
        <f t="shared" si="0"/>
        <v>5</v>
      </c>
      <c r="E9" t="s">
        <v>147</v>
      </c>
      <c r="F9" t="s">
        <v>45</v>
      </c>
      <c r="K9" t="s">
        <v>21</v>
      </c>
      <c r="L9" t="s">
        <v>168</v>
      </c>
      <c r="M9">
        <v>0</v>
      </c>
    </row>
    <row r="10" spans="4:13" x14ac:dyDescent="0.3">
      <c r="D10">
        <f>D9+1</f>
        <v>6</v>
      </c>
      <c r="E10" s="11" t="s">
        <v>154</v>
      </c>
      <c r="F10" t="s">
        <v>45</v>
      </c>
      <c r="K10" t="s">
        <v>21</v>
      </c>
      <c r="L10" t="s">
        <v>169</v>
      </c>
      <c r="M10">
        <v>0</v>
      </c>
    </row>
    <row r="11" spans="4:13" x14ac:dyDescent="0.3">
      <c r="D11">
        <f t="shared" ref="D11:D20" si="1">D10+1</f>
        <v>7</v>
      </c>
      <c r="E11" t="s">
        <v>145</v>
      </c>
      <c r="F11" t="s">
        <v>187</v>
      </c>
      <c r="K11" t="s">
        <v>21</v>
      </c>
      <c r="L11" t="s">
        <v>170</v>
      </c>
      <c r="M11">
        <v>0</v>
      </c>
    </row>
    <row r="12" spans="4:13" x14ac:dyDescent="0.3">
      <c r="D12">
        <f t="shared" si="1"/>
        <v>8</v>
      </c>
      <c r="E12" t="s">
        <v>146</v>
      </c>
      <c r="F12" t="s">
        <v>187</v>
      </c>
      <c r="K12" t="s">
        <v>21</v>
      </c>
      <c r="L12" t="s">
        <v>171</v>
      </c>
      <c r="M12">
        <v>0</v>
      </c>
    </row>
    <row r="13" spans="4:13" x14ac:dyDescent="0.3">
      <c r="D13">
        <f t="shared" si="1"/>
        <v>9</v>
      </c>
      <c r="E13" t="s">
        <v>148</v>
      </c>
      <c r="F13" t="s">
        <v>186</v>
      </c>
      <c r="K13" t="s">
        <v>21</v>
      </c>
      <c r="L13" t="s">
        <v>172</v>
      </c>
      <c r="M13">
        <v>15</v>
      </c>
    </row>
    <row r="14" spans="4:13" x14ac:dyDescent="0.3">
      <c r="D14">
        <f t="shared" si="1"/>
        <v>10</v>
      </c>
      <c r="E14" t="s">
        <v>149</v>
      </c>
      <c r="F14" t="s">
        <v>5</v>
      </c>
      <c r="K14" t="s">
        <v>21</v>
      </c>
      <c r="L14" t="s">
        <v>173</v>
      </c>
      <c r="M14">
        <v>15</v>
      </c>
    </row>
    <row r="15" spans="4:13" x14ac:dyDescent="0.3">
      <c r="D15">
        <f t="shared" si="1"/>
        <v>11</v>
      </c>
      <c r="E15" t="s">
        <v>150</v>
      </c>
      <c r="F15" t="s">
        <v>187</v>
      </c>
      <c r="K15" t="s">
        <v>21</v>
      </c>
      <c r="L15" t="s">
        <v>174</v>
      </c>
      <c r="M15">
        <v>1</v>
      </c>
    </row>
    <row r="16" spans="4:13" x14ac:dyDescent="0.3">
      <c r="D16">
        <f t="shared" si="1"/>
        <v>12</v>
      </c>
      <c r="E16" t="s">
        <v>151</v>
      </c>
      <c r="F16" t="s">
        <v>187</v>
      </c>
      <c r="K16" t="s">
        <v>21</v>
      </c>
      <c r="L16" t="s">
        <v>174</v>
      </c>
      <c r="M16">
        <v>0</v>
      </c>
    </row>
    <row r="17" spans="4:13" x14ac:dyDescent="0.3">
      <c r="D17">
        <f t="shared" si="1"/>
        <v>13</v>
      </c>
      <c r="E17" s="2" t="s">
        <v>152</v>
      </c>
      <c r="F17" s="2" t="s">
        <v>5</v>
      </c>
      <c r="G17" s="2"/>
      <c r="H17" s="2">
        <v>350</v>
      </c>
      <c r="J17" s="2"/>
      <c r="K17" t="s">
        <v>21</v>
      </c>
      <c r="L17" t="s">
        <v>175</v>
      </c>
      <c r="M17" s="3">
        <v>300</v>
      </c>
    </row>
    <row r="18" spans="4:13" x14ac:dyDescent="0.3">
      <c r="D18">
        <f t="shared" si="1"/>
        <v>14</v>
      </c>
      <c r="E18" s="4" t="s">
        <v>153</v>
      </c>
      <c r="F18" s="4" t="s">
        <v>5</v>
      </c>
      <c r="G18" s="4"/>
      <c r="H18" s="4">
        <v>150</v>
      </c>
      <c r="J18" s="4"/>
      <c r="K18" t="s">
        <v>21</v>
      </c>
      <c r="L18" t="s">
        <v>176</v>
      </c>
      <c r="M18" s="5">
        <v>0</v>
      </c>
    </row>
    <row r="19" spans="4:13" x14ac:dyDescent="0.3">
      <c r="D19">
        <f t="shared" si="1"/>
        <v>15</v>
      </c>
      <c r="E19" s="2" t="s">
        <v>155</v>
      </c>
      <c r="F19" s="2" t="s">
        <v>5</v>
      </c>
      <c r="G19" s="2"/>
      <c r="H19" s="2">
        <v>200</v>
      </c>
      <c r="J19" s="2"/>
      <c r="K19" t="s">
        <v>21</v>
      </c>
      <c r="L19" t="s">
        <v>177</v>
      </c>
      <c r="M19" s="3">
        <v>0</v>
      </c>
    </row>
    <row r="20" spans="4:13" x14ac:dyDescent="0.3">
      <c r="D20">
        <f t="shared" si="1"/>
        <v>16</v>
      </c>
      <c r="E20" s="8" t="s">
        <v>156</v>
      </c>
      <c r="F20" s="8" t="s">
        <v>187</v>
      </c>
      <c r="G20" s="8"/>
      <c r="H20" s="8">
        <v>100</v>
      </c>
      <c r="J20" s="8"/>
      <c r="K20" t="s">
        <v>21</v>
      </c>
      <c r="L20" t="s">
        <v>178</v>
      </c>
      <c r="M20" s="9">
        <v>3</v>
      </c>
    </row>
    <row r="21" spans="4:13" x14ac:dyDescent="0.3">
      <c r="D21">
        <f t="shared" ref="D21:D32" si="2">D20+1</f>
        <v>17</v>
      </c>
      <c r="E21" t="s">
        <v>157</v>
      </c>
      <c r="F21" t="s">
        <v>187</v>
      </c>
      <c r="H21">
        <v>100</v>
      </c>
      <c r="K21" t="s">
        <v>21</v>
      </c>
      <c r="L21" t="s">
        <v>179</v>
      </c>
      <c r="M21">
        <v>3</v>
      </c>
    </row>
    <row r="22" spans="4:13" x14ac:dyDescent="0.3">
      <c r="D22">
        <f t="shared" si="2"/>
        <v>18</v>
      </c>
      <c r="E22" t="s">
        <v>158</v>
      </c>
      <c r="F22" t="s">
        <v>187</v>
      </c>
      <c r="H22">
        <v>100</v>
      </c>
      <c r="K22" t="s">
        <v>21</v>
      </c>
      <c r="L22" t="s">
        <v>180</v>
      </c>
      <c r="M22">
        <v>1</v>
      </c>
    </row>
    <row r="23" spans="4:13" ht="43.2" x14ac:dyDescent="0.3">
      <c r="D23">
        <f t="shared" si="2"/>
        <v>19</v>
      </c>
      <c r="E23" t="s">
        <v>159</v>
      </c>
      <c r="F23" t="s">
        <v>186</v>
      </c>
      <c r="H23" s="6" t="s">
        <v>189</v>
      </c>
      <c r="K23" t="s">
        <v>21</v>
      </c>
      <c r="L23" t="s">
        <v>181</v>
      </c>
      <c r="M23">
        <v>1</v>
      </c>
    </row>
    <row r="24" spans="4:13" x14ac:dyDescent="0.3">
      <c r="D24">
        <f t="shared" si="2"/>
        <v>20</v>
      </c>
      <c r="E24" t="s">
        <v>160</v>
      </c>
      <c r="F24" t="s">
        <v>5</v>
      </c>
      <c r="G24" t="s">
        <v>10</v>
      </c>
      <c r="H24">
        <v>3</v>
      </c>
      <c r="J24" t="s">
        <v>92</v>
      </c>
      <c r="K24" t="s">
        <v>21</v>
      </c>
      <c r="L24" t="s">
        <v>182</v>
      </c>
      <c r="M24">
        <v>2</v>
      </c>
    </row>
    <row r="25" spans="4:13" x14ac:dyDescent="0.3">
      <c r="D25">
        <f t="shared" si="2"/>
        <v>21</v>
      </c>
      <c r="E25" t="s">
        <v>161</v>
      </c>
      <c r="F25" t="s">
        <v>5</v>
      </c>
      <c r="G25" t="s">
        <v>10</v>
      </c>
      <c r="H25">
        <v>3</v>
      </c>
      <c r="J25" t="s">
        <v>92</v>
      </c>
      <c r="K25" t="s">
        <v>21</v>
      </c>
      <c r="L25" t="s">
        <v>182</v>
      </c>
      <c r="M25">
        <v>2</v>
      </c>
    </row>
    <row r="26" spans="4:13" x14ac:dyDescent="0.3">
      <c r="D26">
        <f t="shared" si="2"/>
        <v>22</v>
      </c>
      <c r="E26" t="s">
        <v>162</v>
      </c>
      <c r="F26" t="s">
        <v>188</v>
      </c>
      <c r="H26">
        <v>4</v>
      </c>
      <c r="K26" t="s">
        <v>21</v>
      </c>
      <c r="L26" t="s">
        <v>183</v>
      </c>
      <c r="M26">
        <v>0</v>
      </c>
    </row>
    <row r="27" spans="4:13" x14ac:dyDescent="0.3">
      <c r="D27">
        <f t="shared" si="2"/>
        <v>23</v>
      </c>
      <c r="E27" t="s">
        <v>163</v>
      </c>
      <c r="F27" t="s">
        <v>188</v>
      </c>
      <c r="H27">
        <v>4</v>
      </c>
      <c r="K27" t="s">
        <v>21</v>
      </c>
      <c r="L27" t="s">
        <v>184</v>
      </c>
      <c r="M27">
        <v>0</v>
      </c>
    </row>
    <row r="28" spans="4:13" x14ac:dyDescent="0.3">
      <c r="D28">
        <f t="shared" si="2"/>
        <v>24</v>
      </c>
      <c r="E28" t="s">
        <v>164</v>
      </c>
      <c r="F28" t="s">
        <v>187</v>
      </c>
      <c r="H28">
        <v>4</v>
      </c>
      <c r="K28" t="s">
        <v>21</v>
      </c>
      <c r="L28" t="s">
        <v>185</v>
      </c>
      <c r="M28">
        <v>0</v>
      </c>
    </row>
    <row r="29" spans="4:13" x14ac:dyDescent="0.3">
      <c r="D29">
        <f t="shared" si="2"/>
        <v>25</v>
      </c>
      <c r="E29" s="2" t="s">
        <v>33</v>
      </c>
      <c r="F29" s="2" t="s">
        <v>5</v>
      </c>
      <c r="G29" s="2" t="s">
        <v>30</v>
      </c>
      <c r="H29" s="2"/>
      <c r="I29" s="2" t="s">
        <v>17</v>
      </c>
      <c r="J29" s="2" t="s">
        <v>35</v>
      </c>
      <c r="K29" s="2" t="s">
        <v>21</v>
      </c>
      <c r="L29" s="2" t="s">
        <v>36</v>
      </c>
      <c r="M29" s="3" t="s">
        <v>32</v>
      </c>
    </row>
    <row r="30" spans="4:13" x14ac:dyDescent="0.3">
      <c r="D30">
        <f t="shared" si="2"/>
        <v>26</v>
      </c>
      <c r="E30" s="4" t="s">
        <v>37</v>
      </c>
      <c r="F30" s="4" t="s">
        <v>38</v>
      </c>
      <c r="G30" s="4"/>
      <c r="H30" s="4"/>
      <c r="I30" s="4" t="s">
        <v>17</v>
      </c>
      <c r="J30" s="4"/>
      <c r="K30" s="4" t="s">
        <v>21</v>
      </c>
      <c r="L30" s="4" t="s">
        <v>36</v>
      </c>
      <c r="M30" s="5" t="s">
        <v>42</v>
      </c>
    </row>
    <row r="31" spans="4:13" x14ac:dyDescent="0.3">
      <c r="D31">
        <f t="shared" si="2"/>
        <v>27</v>
      </c>
      <c r="E31" s="2" t="s">
        <v>48</v>
      </c>
      <c r="F31" s="2" t="s">
        <v>5</v>
      </c>
      <c r="G31" s="2" t="s">
        <v>30</v>
      </c>
      <c r="H31" s="2"/>
      <c r="I31" s="2" t="s">
        <v>27</v>
      </c>
      <c r="J31" s="2" t="s">
        <v>35</v>
      </c>
      <c r="K31" s="2" t="s">
        <v>21</v>
      </c>
      <c r="L31" s="2" t="s">
        <v>36</v>
      </c>
      <c r="M31" s="3"/>
    </row>
    <row r="32" spans="4:13" x14ac:dyDescent="0.3">
      <c r="D32">
        <f t="shared" si="2"/>
        <v>28</v>
      </c>
      <c r="E32" s="8" t="s">
        <v>49</v>
      </c>
      <c r="F32" s="8" t="s">
        <v>41</v>
      </c>
      <c r="G32" s="8"/>
      <c r="H32" s="8"/>
      <c r="I32" s="8" t="s">
        <v>27</v>
      </c>
      <c r="J32" s="8"/>
      <c r="K32" s="8"/>
      <c r="L32" s="8" t="s">
        <v>36</v>
      </c>
      <c r="M32" s="9"/>
    </row>
  </sheetData>
  <mergeCells count="1">
    <mergeCell ref="D3:M3"/>
  </mergeCells>
  <dataValidations count="2">
    <dataValidation type="list" allowBlank="1" showInputMessage="1" showErrorMessage="1" sqref="K5:K32" xr:uid="{46C18B65-9D2B-4996-ADA9-BDC5302BA55A}">
      <formula1>"Yes,No"</formula1>
    </dataValidation>
    <dataValidation type="list" allowBlank="1" showInputMessage="1" showErrorMessage="1" sqref="I5:I32" xr:uid="{1572A5F3-A8A7-4D9A-BAF3-070B4FFFC747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EE2C7-DA14-460C-9329-2882772510BA}">
  <dimension ref="D3:M18"/>
  <sheetViews>
    <sheetView workbookViewId="0">
      <selection activeCell="J9" sqref="J9"/>
    </sheetView>
  </sheetViews>
  <sheetFormatPr defaultRowHeight="14.4" x14ac:dyDescent="0.3"/>
  <cols>
    <col min="4" max="4" width="3" bestFit="1" customWidth="1"/>
    <col min="5" max="5" width="14.6640625" bestFit="1" customWidth="1"/>
    <col min="6" max="6" width="9" bestFit="1" customWidth="1"/>
    <col min="7" max="7" width="10.109375" bestFit="1" customWidth="1"/>
    <col min="8" max="8" width="4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28.77734375" bestFit="1" customWidth="1"/>
    <col min="13" max="13" width="21.88671875" bestFit="1" customWidth="1"/>
  </cols>
  <sheetData>
    <row r="3" spans="4:13" x14ac:dyDescent="0.3">
      <c r="D3" s="12" t="s">
        <v>209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208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>D5+1</f>
        <v>2</v>
      </c>
      <c r="E6" t="s">
        <v>77</v>
      </c>
      <c r="F6" t="s">
        <v>7</v>
      </c>
      <c r="H6">
        <v>10</v>
      </c>
      <c r="I6" t="s">
        <v>17</v>
      </c>
      <c r="J6" t="s">
        <v>214</v>
      </c>
      <c r="K6" t="s">
        <v>21</v>
      </c>
      <c r="L6" t="s">
        <v>78</v>
      </c>
      <c r="M6" s="1"/>
    </row>
    <row r="7" spans="4:13" x14ac:dyDescent="0.3">
      <c r="D7">
        <f>D6+1</f>
        <v>3</v>
      </c>
      <c r="E7" t="s">
        <v>194</v>
      </c>
      <c r="F7" t="s">
        <v>7</v>
      </c>
      <c r="H7">
        <v>20</v>
      </c>
      <c r="K7" t="s">
        <v>21</v>
      </c>
      <c r="L7" t="s">
        <v>199</v>
      </c>
    </row>
    <row r="8" spans="4:13" x14ac:dyDescent="0.3">
      <c r="D8">
        <f t="shared" ref="D8:D18" si="0">D7+1</f>
        <v>4</v>
      </c>
      <c r="E8" t="s">
        <v>196</v>
      </c>
      <c r="F8" t="s">
        <v>38</v>
      </c>
      <c r="K8" t="s">
        <v>21</v>
      </c>
      <c r="L8" t="s">
        <v>200</v>
      </c>
      <c r="M8" t="s">
        <v>207</v>
      </c>
    </row>
    <row r="9" spans="4:13" x14ac:dyDescent="0.3">
      <c r="D9">
        <f t="shared" si="0"/>
        <v>5</v>
      </c>
      <c r="E9" t="s">
        <v>82</v>
      </c>
      <c r="F9" t="s">
        <v>186</v>
      </c>
      <c r="I9" t="s">
        <v>17</v>
      </c>
      <c r="J9" t="s">
        <v>92</v>
      </c>
      <c r="K9" t="s">
        <v>21</v>
      </c>
      <c r="L9" t="s">
        <v>202</v>
      </c>
      <c r="M9">
        <v>1</v>
      </c>
    </row>
    <row r="10" spans="4:13" x14ac:dyDescent="0.3">
      <c r="D10">
        <f t="shared" si="0"/>
        <v>6</v>
      </c>
      <c r="E10" t="s">
        <v>197</v>
      </c>
      <c r="F10" t="s">
        <v>5</v>
      </c>
      <c r="I10" t="s">
        <v>17</v>
      </c>
      <c r="J10" t="s">
        <v>92</v>
      </c>
      <c r="K10" t="s">
        <v>21</v>
      </c>
      <c r="L10" t="s">
        <v>203</v>
      </c>
      <c r="M10">
        <v>1</v>
      </c>
    </row>
    <row r="11" spans="4:13" x14ac:dyDescent="0.3">
      <c r="D11">
        <f t="shared" si="0"/>
        <v>7</v>
      </c>
      <c r="E11" t="s">
        <v>198</v>
      </c>
      <c r="F11" t="s">
        <v>5</v>
      </c>
      <c r="I11" t="s">
        <v>17</v>
      </c>
      <c r="K11" t="s">
        <v>21</v>
      </c>
      <c r="L11" t="s">
        <v>198</v>
      </c>
      <c r="M11">
        <v>1</v>
      </c>
    </row>
    <row r="12" spans="4:13" x14ac:dyDescent="0.3">
      <c r="D12">
        <f t="shared" si="0"/>
        <v>8</v>
      </c>
      <c r="E12" t="s">
        <v>195</v>
      </c>
      <c r="F12" t="s">
        <v>5</v>
      </c>
      <c r="I12" t="s">
        <v>17</v>
      </c>
      <c r="K12" t="s">
        <v>21</v>
      </c>
      <c r="L12" t="s">
        <v>204</v>
      </c>
      <c r="M12">
        <v>1</v>
      </c>
    </row>
    <row r="13" spans="4:13" x14ac:dyDescent="0.3">
      <c r="D13">
        <f t="shared" si="0"/>
        <v>9</v>
      </c>
      <c r="E13" t="s">
        <v>201</v>
      </c>
      <c r="F13" t="s">
        <v>45</v>
      </c>
      <c r="K13" t="s">
        <v>21</v>
      </c>
      <c r="L13" t="s">
        <v>205</v>
      </c>
      <c r="M13" t="b">
        <v>0</v>
      </c>
    </row>
    <row r="14" spans="4:13" x14ac:dyDescent="0.3">
      <c r="D14">
        <f t="shared" si="0"/>
        <v>10</v>
      </c>
      <c r="E14" t="s">
        <v>44</v>
      </c>
      <c r="F14" t="s">
        <v>45</v>
      </c>
      <c r="K14" t="s">
        <v>18</v>
      </c>
      <c r="L14" t="s">
        <v>206</v>
      </c>
      <c r="M14" t="b">
        <v>1</v>
      </c>
    </row>
    <row r="15" spans="4:13" x14ac:dyDescent="0.3">
      <c r="D15">
        <f>D14+1</f>
        <v>11</v>
      </c>
      <c r="E15" s="2" t="s">
        <v>33</v>
      </c>
      <c r="F15" s="2" t="s">
        <v>5</v>
      </c>
      <c r="G15" s="2" t="s">
        <v>30</v>
      </c>
      <c r="H15" s="2"/>
      <c r="I15" s="2" t="s">
        <v>17</v>
      </c>
      <c r="J15" s="2" t="s">
        <v>35</v>
      </c>
      <c r="K15" s="2" t="s">
        <v>21</v>
      </c>
      <c r="L15" s="2" t="s">
        <v>36</v>
      </c>
      <c r="M15" s="3" t="s">
        <v>32</v>
      </c>
    </row>
    <row r="16" spans="4:13" x14ac:dyDescent="0.3">
      <c r="D16">
        <f t="shared" si="0"/>
        <v>12</v>
      </c>
      <c r="E16" s="4" t="s">
        <v>37</v>
      </c>
      <c r="F16" s="4" t="s">
        <v>38</v>
      </c>
      <c r="G16" s="4"/>
      <c r="H16" s="4"/>
      <c r="I16" s="4" t="s">
        <v>17</v>
      </c>
      <c r="J16" s="4"/>
      <c r="K16" s="4" t="s">
        <v>21</v>
      </c>
      <c r="L16" s="4" t="s">
        <v>36</v>
      </c>
      <c r="M16" s="5" t="s">
        <v>42</v>
      </c>
    </row>
    <row r="17" spans="4:13" x14ac:dyDescent="0.3">
      <c r="D17">
        <f t="shared" si="0"/>
        <v>13</v>
      </c>
      <c r="E17" s="2" t="s">
        <v>48</v>
      </c>
      <c r="F17" s="2" t="s">
        <v>5</v>
      </c>
      <c r="G17" s="2" t="s">
        <v>30</v>
      </c>
      <c r="H17" s="2"/>
      <c r="I17" s="2" t="s">
        <v>27</v>
      </c>
      <c r="J17" s="2" t="s">
        <v>35</v>
      </c>
      <c r="K17" s="2" t="s">
        <v>21</v>
      </c>
      <c r="L17" s="2" t="s">
        <v>36</v>
      </c>
      <c r="M17" s="3"/>
    </row>
    <row r="18" spans="4:13" x14ac:dyDescent="0.3">
      <c r="D18">
        <f t="shared" si="0"/>
        <v>14</v>
      </c>
      <c r="E18" s="8" t="s">
        <v>49</v>
      </c>
      <c r="F18" s="8" t="s">
        <v>41</v>
      </c>
      <c r="G18" s="8"/>
      <c r="H18" s="8"/>
      <c r="I18" s="8" t="s">
        <v>27</v>
      </c>
      <c r="J18" s="8"/>
      <c r="K18" s="8"/>
      <c r="L18" s="8" t="s">
        <v>36</v>
      </c>
      <c r="M18" s="9"/>
    </row>
  </sheetData>
  <mergeCells count="1">
    <mergeCell ref="D3:M3"/>
  </mergeCells>
  <dataValidations count="2">
    <dataValidation type="list" allowBlank="1" showInputMessage="1" showErrorMessage="1" sqref="K5:K18" xr:uid="{F3F47990-5F50-4DA5-A383-3406595F794D}">
      <formula1>"Yes,No"</formula1>
    </dataValidation>
    <dataValidation type="list" allowBlank="1" showInputMessage="1" showErrorMessage="1" sqref="I5:I18" xr:uid="{792BB4DE-926C-45D0-AE1B-CD6CC3062609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9A72-ADE7-461C-9FCB-08D8351E964D}">
  <dimension ref="D3:M14"/>
  <sheetViews>
    <sheetView workbookViewId="0">
      <selection activeCell="E5" sqref="E5"/>
    </sheetView>
  </sheetViews>
  <sheetFormatPr defaultRowHeight="14.4" x14ac:dyDescent="0.3"/>
  <cols>
    <col min="4" max="4" width="3" bestFit="1" customWidth="1"/>
    <col min="5" max="5" width="14.6640625" bestFit="1" customWidth="1"/>
    <col min="6" max="6" width="9" bestFit="1" customWidth="1"/>
    <col min="7" max="7" width="10.109375" bestFit="1" customWidth="1"/>
    <col min="8" max="8" width="4" bestFit="1" customWidth="1"/>
    <col min="9" max="9" width="17" bestFit="1" customWidth="1"/>
    <col min="10" max="10" width="20.6640625" bestFit="1" customWidth="1"/>
    <col min="11" max="11" width="7.88671875" bestFit="1" customWidth="1"/>
    <col min="12" max="12" width="38" bestFit="1" customWidth="1"/>
    <col min="13" max="13" width="21.88671875" bestFit="1" customWidth="1"/>
  </cols>
  <sheetData>
    <row r="3" spans="4:13" x14ac:dyDescent="0.3">
      <c r="D3" s="12" t="s">
        <v>220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223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>D5+1</f>
        <v>2</v>
      </c>
      <c r="E6" t="s">
        <v>208</v>
      </c>
      <c r="F6" t="s">
        <v>5</v>
      </c>
      <c r="G6" t="s">
        <v>10</v>
      </c>
      <c r="J6" t="s">
        <v>215</v>
      </c>
      <c r="K6" t="s">
        <v>18</v>
      </c>
      <c r="L6" t="s">
        <v>216</v>
      </c>
      <c r="M6" s="1"/>
    </row>
    <row r="7" spans="4:13" x14ac:dyDescent="0.3">
      <c r="D7">
        <f>D6+1</f>
        <v>3</v>
      </c>
      <c r="E7" t="s">
        <v>210</v>
      </c>
      <c r="F7" t="s">
        <v>186</v>
      </c>
      <c r="H7">
        <v>6</v>
      </c>
      <c r="K7" t="s">
        <v>21</v>
      </c>
      <c r="L7" t="s">
        <v>217</v>
      </c>
      <c r="M7">
        <v>0</v>
      </c>
    </row>
    <row r="8" spans="4:13" x14ac:dyDescent="0.3">
      <c r="D8">
        <f t="shared" ref="D8:D14" si="0">D7+1</f>
        <v>4</v>
      </c>
      <c r="E8" t="s">
        <v>213</v>
      </c>
      <c r="F8" t="s">
        <v>186</v>
      </c>
      <c r="K8" t="s">
        <v>21</v>
      </c>
      <c r="L8" t="s">
        <v>218</v>
      </c>
      <c r="M8">
        <v>0</v>
      </c>
    </row>
    <row r="9" spans="4:13" x14ac:dyDescent="0.3">
      <c r="D9">
        <f t="shared" si="0"/>
        <v>5</v>
      </c>
      <c r="E9" t="s">
        <v>211</v>
      </c>
      <c r="F9" t="s">
        <v>187</v>
      </c>
      <c r="J9" s="7"/>
      <c r="K9" t="s">
        <v>21</v>
      </c>
      <c r="L9" t="s">
        <v>219</v>
      </c>
      <c r="M9">
        <v>0</v>
      </c>
    </row>
    <row r="10" spans="4:13" x14ac:dyDescent="0.3">
      <c r="D10">
        <f t="shared" si="0"/>
        <v>6</v>
      </c>
      <c r="E10" t="s">
        <v>44</v>
      </c>
      <c r="F10" t="s">
        <v>45</v>
      </c>
      <c r="K10" t="s">
        <v>21</v>
      </c>
      <c r="M10" t="b">
        <v>1</v>
      </c>
    </row>
    <row r="11" spans="4:13" x14ac:dyDescent="0.3">
      <c r="D11">
        <f t="shared" si="0"/>
        <v>7</v>
      </c>
      <c r="E11" s="2" t="s">
        <v>33</v>
      </c>
      <c r="F11" s="2" t="s">
        <v>5</v>
      </c>
      <c r="G11" s="2" t="s">
        <v>30</v>
      </c>
      <c r="H11" s="2"/>
      <c r="I11" s="2" t="s">
        <v>17</v>
      </c>
      <c r="J11" s="2" t="s">
        <v>35</v>
      </c>
      <c r="K11" s="2" t="s">
        <v>21</v>
      </c>
      <c r="L11" s="2" t="s">
        <v>36</v>
      </c>
      <c r="M11" s="3" t="s">
        <v>32</v>
      </c>
    </row>
    <row r="12" spans="4:13" x14ac:dyDescent="0.3">
      <c r="D12">
        <f t="shared" si="0"/>
        <v>8</v>
      </c>
      <c r="E12" s="4" t="s">
        <v>37</v>
      </c>
      <c r="F12" s="4" t="s">
        <v>38</v>
      </c>
      <c r="G12" s="4"/>
      <c r="H12" s="4"/>
      <c r="I12" s="4" t="s">
        <v>17</v>
      </c>
      <c r="J12" s="4"/>
      <c r="K12" s="4" t="s">
        <v>21</v>
      </c>
      <c r="L12" s="4" t="s">
        <v>36</v>
      </c>
      <c r="M12" s="5" t="s">
        <v>42</v>
      </c>
    </row>
    <row r="13" spans="4:13" x14ac:dyDescent="0.3">
      <c r="D13">
        <f t="shared" si="0"/>
        <v>9</v>
      </c>
      <c r="E13" s="2" t="s">
        <v>48</v>
      </c>
      <c r="F13" s="2" t="s">
        <v>5</v>
      </c>
      <c r="G13" s="2" t="s">
        <v>30</v>
      </c>
      <c r="H13" s="2"/>
      <c r="I13" s="2" t="s">
        <v>27</v>
      </c>
      <c r="J13" s="2" t="s">
        <v>35</v>
      </c>
      <c r="K13" s="2" t="s">
        <v>21</v>
      </c>
      <c r="L13" s="2" t="s">
        <v>36</v>
      </c>
      <c r="M13" s="3"/>
    </row>
    <row r="14" spans="4:13" x14ac:dyDescent="0.3">
      <c r="D14">
        <f t="shared" si="0"/>
        <v>10</v>
      </c>
      <c r="E14" s="8" t="s">
        <v>49</v>
      </c>
      <c r="F14" s="8" t="s">
        <v>41</v>
      </c>
      <c r="G14" s="8"/>
      <c r="H14" s="8"/>
      <c r="I14" s="8" t="s">
        <v>27</v>
      </c>
      <c r="J14" s="8"/>
      <c r="K14" s="8"/>
      <c r="L14" s="8" t="s">
        <v>36</v>
      </c>
      <c r="M14" s="9"/>
    </row>
  </sheetData>
  <mergeCells count="1">
    <mergeCell ref="D3:M3"/>
  </mergeCells>
  <dataValidations count="2">
    <dataValidation type="list" allowBlank="1" showInputMessage="1" showErrorMessage="1" sqref="I5:I8 I10:I14" xr:uid="{703400B2-25F4-4759-8A26-5495B3587C9A}">
      <formula1>"AUTO_INCREMENT,*,Nullable"</formula1>
    </dataValidation>
    <dataValidation type="list" allowBlank="1" showInputMessage="1" showErrorMessage="1" sqref="K5:K14" xr:uid="{52A2A83E-90FA-4BF7-9250-C044AF333E85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031E4-94A4-4B3C-A041-792BDC52C41F}">
  <dimension ref="D3:M23"/>
  <sheetViews>
    <sheetView workbookViewId="0">
      <selection activeCell="J9" sqref="J9"/>
    </sheetView>
  </sheetViews>
  <sheetFormatPr defaultRowHeight="14.4" x14ac:dyDescent="0.3"/>
  <cols>
    <col min="4" max="4" width="7.88671875" bestFit="1" customWidth="1"/>
    <col min="5" max="5" width="16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3" x14ac:dyDescent="0.3">
      <c r="D3" s="12" t="s">
        <v>192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193</v>
      </c>
      <c r="F5" t="s">
        <v>5</v>
      </c>
      <c r="G5" t="s">
        <v>15</v>
      </c>
      <c r="I5" t="s">
        <v>20</v>
      </c>
      <c r="K5" t="s">
        <v>18</v>
      </c>
      <c r="L5" t="s">
        <v>227</v>
      </c>
    </row>
    <row r="6" spans="4:13" x14ac:dyDescent="0.3">
      <c r="D6">
        <f>D5+1</f>
        <v>2</v>
      </c>
      <c r="E6" t="s">
        <v>77</v>
      </c>
      <c r="F6" t="s">
        <v>5</v>
      </c>
      <c r="G6" t="s">
        <v>10</v>
      </c>
      <c r="I6" t="s">
        <v>17</v>
      </c>
      <c r="J6" t="s">
        <v>214</v>
      </c>
      <c r="K6" t="s">
        <v>18</v>
      </c>
      <c r="L6" t="s">
        <v>140</v>
      </c>
      <c r="M6" s="1"/>
    </row>
    <row r="7" spans="4:13" x14ac:dyDescent="0.3">
      <c r="D7">
        <f t="shared" ref="D7:D23" si="0">D6+1</f>
        <v>3</v>
      </c>
      <c r="E7" t="s">
        <v>226</v>
      </c>
      <c r="F7" t="s">
        <v>38</v>
      </c>
      <c r="I7" t="s">
        <v>17</v>
      </c>
      <c r="K7" t="s">
        <v>18</v>
      </c>
      <c r="L7" t="s">
        <v>228</v>
      </c>
    </row>
    <row r="8" spans="4:13" x14ac:dyDescent="0.3">
      <c r="D8">
        <f t="shared" si="0"/>
        <v>4</v>
      </c>
      <c r="E8" t="s">
        <v>196</v>
      </c>
      <c r="F8" t="s">
        <v>38</v>
      </c>
      <c r="I8" t="s">
        <v>17</v>
      </c>
      <c r="K8" t="s">
        <v>21</v>
      </c>
      <c r="L8" t="s">
        <v>229</v>
      </c>
    </row>
    <row r="9" spans="4:13" x14ac:dyDescent="0.3">
      <c r="D9">
        <f t="shared" si="0"/>
        <v>5</v>
      </c>
      <c r="E9" t="s">
        <v>82</v>
      </c>
      <c r="F9" t="s">
        <v>5</v>
      </c>
      <c r="G9" t="s">
        <v>10</v>
      </c>
      <c r="I9" t="s">
        <v>17</v>
      </c>
      <c r="J9" t="s">
        <v>92</v>
      </c>
      <c r="K9" t="s">
        <v>21</v>
      </c>
      <c r="L9" t="s">
        <v>82</v>
      </c>
    </row>
    <row r="10" spans="4:13" x14ac:dyDescent="0.3">
      <c r="D10">
        <f t="shared" si="0"/>
        <v>6</v>
      </c>
      <c r="E10" t="s">
        <v>195</v>
      </c>
      <c r="F10" t="s">
        <v>5</v>
      </c>
      <c r="H10">
        <v>6</v>
      </c>
      <c r="I10" t="s">
        <v>17</v>
      </c>
      <c r="K10" t="s">
        <v>21</v>
      </c>
      <c r="L10" t="s">
        <v>204</v>
      </c>
    </row>
    <row r="11" spans="4:13" x14ac:dyDescent="0.3">
      <c r="D11">
        <f t="shared" si="0"/>
        <v>7</v>
      </c>
      <c r="E11" t="s">
        <v>233</v>
      </c>
      <c r="F11" t="s">
        <v>187</v>
      </c>
      <c r="I11" t="s">
        <v>17</v>
      </c>
      <c r="K11" t="s">
        <v>21</v>
      </c>
      <c r="L11" t="s">
        <v>230</v>
      </c>
    </row>
    <row r="12" spans="4:13" x14ac:dyDescent="0.3">
      <c r="D12">
        <f t="shared" si="0"/>
        <v>8</v>
      </c>
      <c r="E12" t="s">
        <v>232</v>
      </c>
      <c r="F12" t="s">
        <v>187</v>
      </c>
      <c r="I12" t="s">
        <v>17</v>
      </c>
      <c r="K12" t="s">
        <v>21</v>
      </c>
      <c r="L12" t="s">
        <v>231</v>
      </c>
    </row>
    <row r="13" spans="4:13" x14ac:dyDescent="0.3">
      <c r="D13">
        <f t="shared" si="0"/>
        <v>9</v>
      </c>
      <c r="E13" t="s">
        <v>234</v>
      </c>
      <c r="F13" t="s">
        <v>187</v>
      </c>
      <c r="I13" t="s">
        <v>17</v>
      </c>
      <c r="K13" t="s">
        <v>21</v>
      </c>
    </row>
    <row r="14" spans="4:13" x14ac:dyDescent="0.3">
      <c r="D14">
        <f t="shared" si="0"/>
        <v>10</v>
      </c>
      <c r="E14" t="s">
        <v>235</v>
      </c>
      <c r="F14" t="s">
        <v>187</v>
      </c>
      <c r="I14" t="s">
        <v>17</v>
      </c>
      <c r="K14" t="s">
        <v>21</v>
      </c>
    </row>
    <row r="15" spans="4:13" x14ac:dyDescent="0.3">
      <c r="D15">
        <f t="shared" si="0"/>
        <v>11</v>
      </c>
      <c r="E15" t="s">
        <v>236</v>
      </c>
      <c r="F15" t="s">
        <v>187</v>
      </c>
      <c r="I15" t="s">
        <v>17</v>
      </c>
      <c r="K15" t="s">
        <v>21</v>
      </c>
    </row>
    <row r="16" spans="4:13" x14ac:dyDescent="0.3">
      <c r="D16">
        <f t="shared" si="0"/>
        <v>12</v>
      </c>
      <c r="E16" t="s">
        <v>225</v>
      </c>
      <c r="F16" t="s">
        <v>187</v>
      </c>
      <c r="I16" t="s">
        <v>17</v>
      </c>
      <c r="K16" t="s">
        <v>21</v>
      </c>
    </row>
    <row r="17" spans="4:13" x14ac:dyDescent="0.3">
      <c r="D17">
        <f t="shared" si="0"/>
        <v>13</v>
      </c>
      <c r="E17" t="s">
        <v>224</v>
      </c>
      <c r="F17" t="s">
        <v>45</v>
      </c>
      <c r="I17" t="s">
        <v>17</v>
      </c>
      <c r="K17" t="s">
        <v>21</v>
      </c>
    </row>
    <row r="18" spans="4:13" x14ac:dyDescent="0.3">
      <c r="D18">
        <f t="shared" si="0"/>
        <v>14</v>
      </c>
      <c r="E18" t="s">
        <v>201</v>
      </c>
      <c r="F18" t="s">
        <v>45</v>
      </c>
      <c r="I18" t="s">
        <v>17</v>
      </c>
      <c r="K18" t="s">
        <v>21</v>
      </c>
      <c r="L18" t="s">
        <v>205</v>
      </c>
      <c r="M18" t="b">
        <v>0</v>
      </c>
    </row>
    <row r="19" spans="4:13" x14ac:dyDescent="0.3">
      <c r="D19">
        <f t="shared" si="0"/>
        <v>15</v>
      </c>
      <c r="E19" t="s">
        <v>44</v>
      </c>
      <c r="F19" t="s">
        <v>45</v>
      </c>
      <c r="I19" t="s">
        <v>17</v>
      </c>
      <c r="K19" t="s">
        <v>18</v>
      </c>
      <c r="L19" t="s">
        <v>206</v>
      </c>
      <c r="M19" t="b">
        <v>1</v>
      </c>
    </row>
    <row r="20" spans="4:13" x14ac:dyDescent="0.3">
      <c r="D20">
        <f t="shared" si="0"/>
        <v>16</v>
      </c>
      <c r="E20" s="2" t="s">
        <v>33</v>
      </c>
      <c r="F20" s="2" t="s">
        <v>5</v>
      </c>
      <c r="G20" s="2" t="s">
        <v>30</v>
      </c>
      <c r="H20" s="2"/>
      <c r="I20" s="2" t="s">
        <v>17</v>
      </c>
      <c r="J20" s="2" t="s">
        <v>35</v>
      </c>
      <c r="K20" s="2" t="s">
        <v>21</v>
      </c>
      <c r="L20" s="2" t="s">
        <v>36</v>
      </c>
      <c r="M20" s="3" t="s">
        <v>32</v>
      </c>
    </row>
    <row r="21" spans="4:13" x14ac:dyDescent="0.3">
      <c r="D21">
        <f t="shared" si="0"/>
        <v>17</v>
      </c>
      <c r="E21" s="4" t="s">
        <v>37</v>
      </c>
      <c r="F21" s="4" t="s">
        <v>38</v>
      </c>
      <c r="G21" s="4"/>
      <c r="H21" s="4"/>
      <c r="I21" s="4" t="s">
        <v>17</v>
      </c>
      <c r="J21" s="4"/>
      <c r="K21" s="4" t="s">
        <v>21</v>
      </c>
      <c r="L21" s="4" t="s">
        <v>36</v>
      </c>
      <c r="M21" s="5" t="s">
        <v>42</v>
      </c>
    </row>
    <row r="22" spans="4:13" x14ac:dyDescent="0.3">
      <c r="D22">
        <f t="shared" si="0"/>
        <v>18</v>
      </c>
      <c r="E22" s="2" t="s">
        <v>48</v>
      </c>
      <c r="F22" s="2" t="s">
        <v>5</v>
      </c>
      <c r="G22" s="2" t="s">
        <v>30</v>
      </c>
      <c r="H22" s="2"/>
      <c r="I22" s="2" t="s">
        <v>27</v>
      </c>
      <c r="J22" s="2" t="s">
        <v>35</v>
      </c>
      <c r="K22" s="2" t="s">
        <v>21</v>
      </c>
      <c r="L22" s="2" t="s">
        <v>36</v>
      </c>
      <c r="M22" s="3"/>
    </row>
    <row r="23" spans="4:13" x14ac:dyDescent="0.3">
      <c r="D23">
        <f t="shared" si="0"/>
        <v>19</v>
      </c>
      <c r="E23" s="8" t="s">
        <v>49</v>
      </c>
      <c r="F23" s="8" t="s">
        <v>41</v>
      </c>
      <c r="G23" s="8"/>
      <c r="H23" s="8"/>
      <c r="I23" s="8" t="s">
        <v>27</v>
      </c>
      <c r="J23" s="8"/>
      <c r="K23" s="8"/>
      <c r="L23" s="8" t="s">
        <v>36</v>
      </c>
      <c r="M23" s="9"/>
    </row>
  </sheetData>
  <mergeCells count="1">
    <mergeCell ref="D3:M3"/>
  </mergeCells>
  <dataValidations count="2">
    <dataValidation type="list" allowBlank="1" showInputMessage="1" showErrorMessage="1" sqref="I5:I23" xr:uid="{733E247E-9F98-436C-92E3-E28044EED228}">
      <formula1>"AUTO_INCREMENT,*,Nullable"</formula1>
    </dataValidation>
    <dataValidation type="list" allowBlank="1" showInputMessage="1" showErrorMessage="1" sqref="K5:K23" xr:uid="{6D538910-624A-4023-AEC6-EACBC3E77D78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5C124-653B-4755-A1CF-07F49552C1F2}">
  <dimension ref="D3:M18"/>
  <sheetViews>
    <sheetView workbookViewId="0">
      <selection activeCell="I30" sqref="I30"/>
    </sheetView>
  </sheetViews>
  <sheetFormatPr defaultRowHeight="14.4" x14ac:dyDescent="0.3"/>
  <cols>
    <col min="4" max="4" width="7.88671875" bestFit="1" customWidth="1"/>
    <col min="5" max="5" width="14.88671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0.6640625" bestFit="1" customWidth="1"/>
    <col min="11" max="11" width="7.88671875" bestFit="1" customWidth="1"/>
    <col min="12" max="12" width="20.5546875" bestFit="1" customWidth="1"/>
    <col min="13" max="13" width="21.88671875" bestFit="1" customWidth="1"/>
  </cols>
  <sheetData>
    <row r="3" spans="4:13" x14ac:dyDescent="0.3">
      <c r="D3" s="12" t="s">
        <v>237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238</v>
      </c>
      <c r="F5" t="s">
        <v>5</v>
      </c>
      <c r="G5" t="s">
        <v>15</v>
      </c>
      <c r="I5" t="s">
        <v>20</v>
      </c>
      <c r="K5" t="s">
        <v>18</v>
      </c>
    </row>
    <row r="6" spans="4:13" x14ac:dyDescent="0.3">
      <c r="D6">
        <f>D5+1</f>
        <v>2</v>
      </c>
      <c r="E6" t="s">
        <v>77</v>
      </c>
      <c r="F6" t="s">
        <v>5</v>
      </c>
      <c r="J6" t="s">
        <v>214</v>
      </c>
      <c r="K6" t="s">
        <v>18</v>
      </c>
    </row>
    <row r="7" spans="4:13" x14ac:dyDescent="0.3">
      <c r="D7">
        <f t="shared" ref="D7:D18" si="0">D6+1</f>
        <v>3</v>
      </c>
      <c r="E7" t="s">
        <v>208</v>
      </c>
      <c r="F7" t="s">
        <v>5</v>
      </c>
      <c r="G7" t="s">
        <v>10</v>
      </c>
      <c r="J7" t="s">
        <v>215</v>
      </c>
      <c r="K7" t="s">
        <v>18</v>
      </c>
      <c r="L7" t="s">
        <v>216</v>
      </c>
      <c r="M7" s="1"/>
    </row>
    <row r="8" spans="4:13" x14ac:dyDescent="0.3">
      <c r="D8">
        <f t="shared" si="0"/>
        <v>4</v>
      </c>
      <c r="E8" t="s">
        <v>210</v>
      </c>
      <c r="F8" t="s">
        <v>186</v>
      </c>
      <c r="H8">
        <v>6</v>
      </c>
      <c r="K8" t="s">
        <v>21</v>
      </c>
      <c r="L8" t="s">
        <v>217</v>
      </c>
      <c r="M8">
        <v>0</v>
      </c>
    </row>
    <row r="9" spans="4:13" x14ac:dyDescent="0.3">
      <c r="D9">
        <f t="shared" si="0"/>
        <v>5</v>
      </c>
      <c r="E9" t="s">
        <v>213</v>
      </c>
      <c r="F9" t="s">
        <v>186</v>
      </c>
      <c r="K9" t="s">
        <v>21</v>
      </c>
      <c r="L9" t="s">
        <v>218</v>
      </c>
      <c r="M9">
        <v>0</v>
      </c>
    </row>
    <row r="10" spans="4:13" x14ac:dyDescent="0.3">
      <c r="D10">
        <f t="shared" si="0"/>
        <v>6</v>
      </c>
      <c r="E10" t="s">
        <v>211</v>
      </c>
      <c r="F10" t="s">
        <v>187</v>
      </c>
      <c r="J10" s="7"/>
      <c r="K10" t="s">
        <v>21</v>
      </c>
      <c r="L10" t="s">
        <v>219</v>
      </c>
      <c r="M10">
        <v>0</v>
      </c>
    </row>
    <row r="11" spans="4:13" x14ac:dyDescent="0.3">
      <c r="D11">
        <f t="shared" si="0"/>
        <v>7</v>
      </c>
      <c r="E11" t="s">
        <v>212</v>
      </c>
      <c r="F11" t="s">
        <v>187</v>
      </c>
      <c r="J11" s="13"/>
    </row>
    <row r="12" spans="4:13" x14ac:dyDescent="0.3">
      <c r="D12">
        <f t="shared" si="0"/>
        <v>8</v>
      </c>
      <c r="E12" t="s">
        <v>44</v>
      </c>
      <c r="F12" t="s">
        <v>45</v>
      </c>
      <c r="K12" t="s">
        <v>18</v>
      </c>
      <c r="M12" t="b">
        <v>1</v>
      </c>
    </row>
    <row r="13" spans="4:13" x14ac:dyDescent="0.3">
      <c r="D13">
        <f t="shared" si="0"/>
        <v>9</v>
      </c>
      <c r="E13" t="s">
        <v>221</v>
      </c>
    </row>
    <row r="14" spans="4:13" x14ac:dyDescent="0.3">
      <c r="D14">
        <f t="shared" si="0"/>
        <v>10</v>
      </c>
      <c r="E14" t="s">
        <v>222</v>
      </c>
      <c r="I14" t="s">
        <v>27</v>
      </c>
    </row>
    <row r="15" spans="4:13" x14ac:dyDescent="0.3">
      <c r="D15">
        <f t="shared" si="0"/>
        <v>11</v>
      </c>
      <c r="E15" s="2" t="s">
        <v>33</v>
      </c>
      <c r="F15" s="2" t="s">
        <v>5</v>
      </c>
      <c r="G15" s="2" t="s">
        <v>30</v>
      </c>
      <c r="H15" s="2"/>
      <c r="I15" s="2" t="s">
        <v>17</v>
      </c>
      <c r="J15" s="2" t="s">
        <v>35</v>
      </c>
      <c r="K15" s="2" t="s">
        <v>21</v>
      </c>
      <c r="L15" s="2" t="s">
        <v>36</v>
      </c>
      <c r="M15" s="3" t="s">
        <v>32</v>
      </c>
    </row>
    <row r="16" spans="4:13" x14ac:dyDescent="0.3">
      <c r="D16">
        <f t="shared" si="0"/>
        <v>12</v>
      </c>
      <c r="E16" s="4" t="s">
        <v>37</v>
      </c>
      <c r="F16" s="4" t="s">
        <v>38</v>
      </c>
      <c r="G16" s="4"/>
      <c r="H16" s="4"/>
      <c r="I16" s="4" t="s">
        <v>17</v>
      </c>
      <c r="J16" s="4"/>
      <c r="K16" s="4" t="s">
        <v>21</v>
      </c>
      <c r="L16" s="4" t="s">
        <v>36</v>
      </c>
      <c r="M16" s="5" t="s">
        <v>42</v>
      </c>
    </row>
    <row r="17" spans="4:13" x14ac:dyDescent="0.3">
      <c r="D17">
        <f t="shared" si="0"/>
        <v>13</v>
      </c>
      <c r="E17" s="2" t="s">
        <v>48</v>
      </c>
      <c r="F17" s="2" t="s">
        <v>5</v>
      </c>
      <c r="G17" s="2" t="s">
        <v>30</v>
      </c>
      <c r="H17" s="2"/>
      <c r="I17" s="2" t="s">
        <v>27</v>
      </c>
      <c r="J17" s="2" t="s">
        <v>35</v>
      </c>
      <c r="K17" s="2" t="s">
        <v>21</v>
      </c>
      <c r="L17" s="2" t="s">
        <v>36</v>
      </c>
      <c r="M17" s="3"/>
    </row>
    <row r="18" spans="4:13" x14ac:dyDescent="0.3">
      <c r="D18">
        <f t="shared" si="0"/>
        <v>14</v>
      </c>
      <c r="E18" s="8" t="s">
        <v>49</v>
      </c>
      <c r="F18" s="8" t="s">
        <v>41</v>
      </c>
      <c r="G18" s="8"/>
      <c r="H18" s="8"/>
      <c r="I18" s="8" t="s">
        <v>27</v>
      </c>
      <c r="J18" s="8"/>
      <c r="K18" s="8"/>
      <c r="L18" s="8" t="s">
        <v>36</v>
      </c>
      <c r="M18" s="9"/>
    </row>
  </sheetData>
  <mergeCells count="1">
    <mergeCell ref="D3:M3"/>
  </mergeCells>
  <dataValidations count="2">
    <dataValidation type="list" allowBlank="1" showInputMessage="1" showErrorMessage="1" sqref="I5:I9 I12:I18" xr:uid="{8AAABFB7-C10A-4400-81A7-8CE282FCD7D8}">
      <formula1>"AUTO_INCREMENT,*,Nullable"</formula1>
    </dataValidation>
    <dataValidation type="list" allowBlank="1" showInputMessage="1" showErrorMessage="1" sqref="K5:K18" xr:uid="{C82A8A2F-C041-4798-A752-CE6E13CF037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6936-F9ED-48A4-B2A0-6FAD1E73391F}">
  <dimension ref="D3:M14"/>
  <sheetViews>
    <sheetView topLeftCell="A2" workbookViewId="0">
      <selection activeCell="E5" sqref="E5"/>
    </sheetView>
  </sheetViews>
  <sheetFormatPr defaultRowHeight="14.4" x14ac:dyDescent="0.3"/>
  <cols>
    <col min="4" max="4" width="7.88671875" bestFit="1" customWidth="1"/>
    <col min="5" max="5" width="14.777343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3" x14ac:dyDescent="0.3">
      <c r="D3" s="12" t="s">
        <v>239</v>
      </c>
      <c r="E3" s="12"/>
      <c r="F3" s="12"/>
      <c r="G3" s="12"/>
      <c r="H3" s="12"/>
      <c r="I3" s="12"/>
      <c r="J3" s="12"/>
      <c r="K3" s="12"/>
      <c r="L3" s="12"/>
      <c r="M3" s="12"/>
    </row>
    <row r="4" spans="4:13" x14ac:dyDescent="0.3">
      <c r="D4" t="s">
        <v>1</v>
      </c>
      <c r="E4" t="s">
        <v>2</v>
      </c>
      <c r="F4" t="s">
        <v>3</v>
      </c>
      <c r="G4" t="s">
        <v>14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</row>
    <row r="5" spans="4:13" x14ac:dyDescent="0.3">
      <c r="D5">
        <v>1</v>
      </c>
      <c r="E5" t="s">
        <v>243</v>
      </c>
      <c r="F5" t="s">
        <v>5</v>
      </c>
      <c r="G5" t="s">
        <v>15</v>
      </c>
      <c r="I5" t="s">
        <v>20</v>
      </c>
      <c r="K5" t="s">
        <v>18</v>
      </c>
      <c r="L5" t="s">
        <v>227</v>
      </c>
    </row>
    <row r="6" spans="4:13" x14ac:dyDescent="0.3">
      <c r="D6">
        <f>D5+1</f>
        <v>2</v>
      </c>
      <c r="E6" t="s">
        <v>240</v>
      </c>
      <c r="F6" t="s">
        <v>7</v>
      </c>
      <c r="H6">
        <v>20</v>
      </c>
      <c r="I6" t="s">
        <v>17</v>
      </c>
      <c r="K6" t="s">
        <v>18</v>
      </c>
      <c r="L6" t="s">
        <v>140</v>
      </c>
      <c r="M6" s="1"/>
    </row>
    <row r="7" spans="4:13" x14ac:dyDescent="0.3">
      <c r="D7">
        <f t="shared" ref="D7:D14" si="0">D6+1</f>
        <v>3</v>
      </c>
      <c r="E7" t="s">
        <v>196</v>
      </c>
      <c r="F7" t="s">
        <v>38</v>
      </c>
      <c r="I7" t="s">
        <v>17</v>
      </c>
    </row>
    <row r="8" spans="4:13" x14ac:dyDescent="0.3">
      <c r="D8">
        <f t="shared" si="0"/>
        <v>4</v>
      </c>
      <c r="E8" t="s">
        <v>253</v>
      </c>
      <c r="F8" t="s">
        <v>5</v>
      </c>
      <c r="I8" t="s">
        <v>17</v>
      </c>
    </row>
    <row r="9" spans="4:13" x14ac:dyDescent="0.3">
      <c r="D9">
        <f t="shared" si="0"/>
        <v>5</v>
      </c>
      <c r="E9" t="s">
        <v>201</v>
      </c>
      <c r="F9" t="s">
        <v>45</v>
      </c>
      <c r="I9" t="s">
        <v>17</v>
      </c>
      <c r="K9" t="s">
        <v>21</v>
      </c>
      <c r="L9" t="s">
        <v>205</v>
      </c>
      <c r="M9" t="b">
        <v>0</v>
      </c>
    </row>
    <row r="10" spans="4:13" x14ac:dyDescent="0.3">
      <c r="D10">
        <f t="shared" si="0"/>
        <v>6</v>
      </c>
      <c r="E10" t="s">
        <v>44</v>
      </c>
      <c r="F10" t="s">
        <v>45</v>
      </c>
      <c r="I10" t="s">
        <v>17</v>
      </c>
      <c r="K10" t="s">
        <v>18</v>
      </c>
      <c r="L10" t="s">
        <v>206</v>
      </c>
      <c r="M10" t="b">
        <v>1</v>
      </c>
    </row>
    <row r="11" spans="4:13" x14ac:dyDescent="0.3">
      <c r="D11">
        <f t="shared" si="0"/>
        <v>7</v>
      </c>
      <c r="E11" s="2" t="s">
        <v>33</v>
      </c>
      <c r="F11" s="2" t="s">
        <v>5</v>
      </c>
      <c r="G11" s="2" t="s">
        <v>30</v>
      </c>
      <c r="H11" s="2"/>
      <c r="I11" s="2" t="s">
        <v>17</v>
      </c>
      <c r="J11" s="2" t="s">
        <v>35</v>
      </c>
      <c r="K11" s="2" t="s">
        <v>21</v>
      </c>
      <c r="L11" s="2" t="s">
        <v>36</v>
      </c>
      <c r="M11" s="3" t="s">
        <v>32</v>
      </c>
    </row>
    <row r="12" spans="4:13" x14ac:dyDescent="0.3">
      <c r="D12">
        <f t="shared" si="0"/>
        <v>8</v>
      </c>
      <c r="E12" s="4" t="s">
        <v>37</v>
      </c>
      <c r="F12" s="4" t="s">
        <v>38</v>
      </c>
      <c r="G12" s="4"/>
      <c r="H12" s="4"/>
      <c r="I12" s="4" t="s">
        <v>17</v>
      </c>
      <c r="J12" s="4"/>
      <c r="K12" s="4" t="s">
        <v>21</v>
      </c>
      <c r="L12" s="4" t="s">
        <v>36</v>
      </c>
      <c r="M12" s="5" t="s">
        <v>42</v>
      </c>
    </row>
    <row r="13" spans="4:13" x14ac:dyDescent="0.3">
      <c r="D13">
        <f t="shared" si="0"/>
        <v>9</v>
      </c>
      <c r="E13" s="2" t="s">
        <v>48</v>
      </c>
      <c r="F13" s="2" t="s">
        <v>5</v>
      </c>
      <c r="G13" s="2" t="s">
        <v>30</v>
      </c>
      <c r="H13" s="2"/>
      <c r="I13" s="2" t="s">
        <v>27</v>
      </c>
      <c r="J13" s="2" t="s">
        <v>35</v>
      </c>
      <c r="K13" s="2" t="s">
        <v>21</v>
      </c>
      <c r="L13" s="2" t="s">
        <v>36</v>
      </c>
      <c r="M13" s="3"/>
    </row>
    <row r="14" spans="4:13" x14ac:dyDescent="0.3">
      <c r="D14">
        <f t="shared" si="0"/>
        <v>10</v>
      </c>
      <c r="E14" s="8" t="s">
        <v>49</v>
      </c>
      <c r="F14" s="8" t="s">
        <v>41</v>
      </c>
      <c r="G14" s="8"/>
      <c r="H14" s="8"/>
      <c r="I14" s="8" t="s">
        <v>27</v>
      </c>
      <c r="J14" s="8"/>
      <c r="K14" s="8"/>
      <c r="L14" s="8" t="s">
        <v>36</v>
      </c>
      <c r="M14" s="9"/>
    </row>
  </sheetData>
  <mergeCells count="1">
    <mergeCell ref="D3:M3"/>
  </mergeCells>
  <dataValidations count="2">
    <dataValidation type="list" allowBlank="1" showInputMessage="1" showErrorMessage="1" sqref="K5:K14" xr:uid="{A6148703-6F6B-4D3D-B51D-A72AE050BDD0}">
      <formula1>"Yes,No"</formula1>
    </dataValidation>
    <dataValidation type="list" allowBlank="1" showInputMessage="1" showErrorMessage="1" sqref="I5:I14" xr:uid="{11B964C3-AA38-43A2-88B8-E7A6D2558372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F22A-BB19-4C81-9D12-A311B5EAAFD8}">
  <dimension ref="D3:M18"/>
  <sheetViews>
    <sheetView workbookViewId="0">
      <selection activeCell="E5" sqref="E5"/>
    </sheetView>
  </sheetViews>
  <sheetFormatPr defaultRowHeight="14.4" x14ac:dyDescent="0.3"/>
  <cols>
    <col min="4" max="4" width="7.88671875" bestFit="1" customWidth="1"/>
    <col min="5" max="5" width="14.777343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7.777343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3" x14ac:dyDescent="0.3">
      <c r="D3" s="14" t="s">
        <v>241</v>
      </c>
      <c r="E3" s="14"/>
      <c r="F3" s="14"/>
      <c r="G3" s="14"/>
      <c r="H3" s="14"/>
      <c r="I3" s="14"/>
      <c r="J3" s="14"/>
      <c r="K3" s="14"/>
      <c r="L3" s="14"/>
      <c r="M3" s="14"/>
    </row>
    <row r="4" spans="4:13" x14ac:dyDescent="0.3">
      <c r="D4" s="15" t="s">
        <v>1</v>
      </c>
      <c r="E4" s="15" t="s">
        <v>2</v>
      </c>
      <c r="F4" s="15" t="s">
        <v>3</v>
      </c>
      <c r="G4" s="15" t="s">
        <v>14</v>
      </c>
      <c r="H4" s="15" t="s">
        <v>8</v>
      </c>
      <c r="I4" s="15" t="s">
        <v>9</v>
      </c>
      <c r="J4" s="15" t="s">
        <v>10</v>
      </c>
      <c r="K4" s="15" t="s">
        <v>11</v>
      </c>
      <c r="L4" s="15" t="s">
        <v>12</v>
      </c>
      <c r="M4" s="15" t="s">
        <v>13</v>
      </c>
    </row>
    <row r="5" spans="4:13" x14ac:dyDescent="0.3">
      <c r="D5" s="15">
        <v>1</v>
      </c>
      <c r="E5" s="15" t="s">
        <v>242</v>
      </c>
      <c r="F5" s="15" t="s">
        <v>5</v>
      </c>
      <c r="G5" s="15" t="s">
        <v>15</v>
      </c>
      <c r="H5" s="15"/>
      <c r="I5" s="15" t="s">
        <v>20</v>
      </c>
      <c r="J5" s="15"/>
      <c r="K5" s="15" t="s">
        <v>18</v>
      </c>
      <c r="L5" s="15" t="s">
        <v>227</v>
      </c>
      <c r="M5" s="15"/>
    </row>
    <row r="6" spans="4:13" x14ac:dyDescent="0.3">
      <c r="D6" s="15">
        <f>D5+1</f>
        <v>2</v>
      </c>
      <c r="E6" s="15" t="s">
        <v>243</v>
      </c>
      <c r="F6" s="15" t="s">
        <v>5</v>
      </c>
      <c r="G6" s="15"/>
      <c r="H6" s="15"/>
      <c r="I6" s="15" t="s">
        <v>17</v>
      </c>
      <c r="J6" s="15" t="s">
        <v>244</v>
      </c>
      <c r="K6" s="15" t="s">
        <v>18</v>
      </c>
      <c r="L6" s="15" t="s">
        <v>140</v>
      </c>
      <c r="M6" s="16"/>
    </row>
    <row r="7" spans="4:13" x14ac:dyDescent="0.3">
      <c r="D7" s="15">
        <f t="shared" ref="D7:D18" si="0">D6+1</f>
        <v>3</v>
      </c>
      <c r="E7" s="15" t="s">
        <v>77</v>
      </c>
      <c r="F7" s="15" t="s">
        <v>5</v>
      </c>
      <c r="G7" s="15"/>
      <c r="H7" s="15"/>
      <c r="I7" s="15" t="s">
        <v>17</v>
      </c>
      <c r="J7" s="15" t="s">
        <v>214</v>
      </c>
      <c r="K7" s="15" t="s">
        <v>18</v>
      </c>
      <c r="L7" s="15" t="s">
        <v>228</v>
      </c>
      <c r="M7" s="15"/>
    </row>
    <row r="8" spans="4:13" x14ac:dyDescent="0.3">
      <c r="D8" s="15">
        <f t="shared" si="0"/>
        <v>4</v>
      </c>
      <c r="E8" s="15" t="s">
        <v>248</v>
      </c>
      <c r="F8" s="15"/>
      <c r="G8" s="15"/>
      <c r="H8" s="15"/>
      <c r="I8" s="15"/>
      <c r="J8" s="15"/>
      <c r="K8" s="15"/>
      <c r="L8" s="15"/>
      <c r="M8" s="15"/>
    </row>
    <row r="9" spans="4:13" x14ac:dyDescent="0.3">
      <c r="D9" s="15">
        <f t="shared" si="0"/>
        <v>5</v>
      </c>
      <c r="E9" s="15" t="s">
        <v>249</v>
      </c>
      <c r="F9" s="15"/>
      <c r="G9" s="15"/>
      <c r="H9" s="15"/>
      <c r="I9" s="15"/>
      <c r="J9" s="15"/>
      <c r="K9" s="15"/>
      <c r="L9" s="15"/>
      <c r="M9" s="15"/>
    </row>
    <row r="10" spans="4:13" x14ac:dyDescent="0.3">
      <c r="D10" s="15">
        <f t="shared" si="0"/>
        <v>6</v>
      </c>
      <c r="E10" s="15" t="s">
        <v>250</v>
      </c>
      <c r="F10" s="15"/>
      <c r="G10" s="15"/>
      <c r="H10" s="15"/>
      <c r="I10" s="15"/>
      <c r="J10" s="15"/>
      <c r="K10" s="15"/>
      <c r="L10" s="15"/>
      <c r="M10" s="15"/>
    </row>
    <row r="11" spans="4:13" x14ac:dyDescent="0.3">
      <c r="D11" s="15">
        <f t="shared" si="0"/>
        <v>7</v>
      </c>
      <c r="E11" s="15" t="s">
        <v>251</v>
      </c>
      <c r="F11" s="15"/>
      <c r="G11" s="15"/>
      <c r="H11" s="15"/>
      <c r="I11" s="15"/>
      <c r="J11" s="15"/>
      <c r="K11" s="15"/>
      <c r="L11" s="15"/>
      <c r="M11" s="15"/>
    </row>
    <row r="12" spans="4:13" x14ac:dyDescent="0.3">
      <c r="D12" s="15">
        <f t="shared" si="0"/>
        <v>8</v>
      </c>
      <c r="E12" s="15" t="s">
        <v>252</v>
      </c>
      <c r="F12" s="15"/>
      <c r="G12" s="15"/>
      <c r="H12" s="15"/>
      <c r="I12" s="15"/>
      <c r="J12" s="15"/>
      <c r="K12" s="15"/>
      <c r="L12" s="15"/>
      <c r="M12" s="15"/>
    </row>
    <row r="13" spans="4:13" x14ac:dyDescent="0.3">
      <c r="D13" s="15">
        <f t="shared" si="0"/>
        <v>9</v>
      </c>
      <c r="E13" s="15" t="s">
        <v>255</v>
      </c>
      <c r="F13" s="15"/>
      <c r="G13" s="15"/>
      <c r="H13" s="15"/>
      <c r="I13" s="15"/>
      <c r="J13" s="15" t="s">
        <v>254</v>
      </c>
      <c r="K13" s="15"/>
      <c r="L13" s="15"/>
      <c r="M13" s="15"/>
    </row>
    <row r="14" spans="4:13" x14ac:dyDescent="0.3">
      <c r="D14" s="15">
        <f t="shared" si="0"/>
        <v>10</v>
      </c>
      <c r="E14" s="15" t="s">
        <v>44</v>
      </c>
      <c r="F14" s="15" t="s">
        <v>45</v>
      </c>
      <c r="G14" s="15"/>
      <c r="H14" s="15"/>
      <c r="I14" s="15" t="s">
        <v>17</v>
      </c>
      <c r="J14" s="15"/>
      <c r="K14" s="15" t="s">
        <v>21</v>
      </c>
      <c r="L14" s="15" t="s">
        <v>229</v>
      </c>
      <c r="M14" s="15"/>
    </row>
    <row r="15" spans="4:13" x14ac:dyDescent="0.3">
      <c r="D15" s="15">
        <f t="shared" si="0"/>
        <v>11</v>
      </c>
      <c r="E15" s="17" t="s">
        <v>33</v>
      </c>
      <c r="F15" s="17" t="s">
        <v>5</v>
      </c>
      <c r="G15" s="17" t="s">
        <v>30</v>
      </c>
      <c r="H15" s="17"/>
      <c r="I15" s="17" t="s">
        <v>17</v>
      </c>
      <c r="J15" s="17" t="s">
        <v>35</v>
      </c>
      <c r="K15" s="17" t="s">
        <v>21</v>
      </c>
      <c r="L15" s="17" t="s">
        <v>36</v>
      </c>
      <c r="M15" s="18" t="s">
        <v>32</v>
      </c>
    </row>
    <row r="16" spans="4:13" x14ac:dyDescent="0.3">
      <c r="D16" s="15">
        <f t="shared" si="0"/>
        <v>12</v>
      </c>
      <c r="E16" s="17" t="s">
        <v>37</v>
      </c>
      <c r="F16" s="17" t="s">
        <v>38</v>
      </c>
      <c r="G16" s="17"/>
      <c r="H16" s="17"/>
      <c r="I16" s="17" t="s">
        <v>17</v>
      </c>
      <c r="J16" s="17"/>
      <c r="K16" s="17" t="s">
        <v>21</v>
      </c>
      <c r="L16" s="17" t="s">
        <v>36</v>
      </c>
      <c r="M16" s="18" t="s">
        <v>42</v>
      </c>
    </row>
    <row r="17" spans="4:13" x14ac:dyDescent="0.3">
      <c r="D17" s="15">
        <f t="shared" si="0"/>
        <v>13</v>
      </c>
      <c r="E17" s="17" t="s">
        <v>48</v>
      </c>
      <c r="F17" s="17" t="s">
        <v>5</v>
      </c>
      <c r="G17" s="17" t="s">
        <v>30</v>
      </c>
      <c r="H17" s="17"/>
      <c r="I17" s="17" t="s">
        <v>27</v>
      </c>
      <c r="J17" s="17" t="s">
        <v>35</v>
      </c>
      <c r="K17" s="17" t="s">
        <v>21</v>
      </c>
      <c r="L17" s="17" t="s">
        <v>36</v>
      </c>
      <c r="M17" s="18"/>
    </row>
    <row r="18" spans="4:13" x14ac:dyDescent="0.3">
      <c r="D18" s="15">
        <f t="shared" si="0"/>
        <v>14</v>
      </c>
      <c r="E18" s="19" t="s">
        <v>49</v>
      </c>
      <c r="F18" s="19" t="s">
        <v>41</v>
      </c>
      <c r="G18" s="19"/>
      <c r="H18" s="19"/>
      <c r="I18" s="19" t="s">
        <v>27</v>
      </c>
      <c r="J18" s="19"/>
      <c r="K18" s="19"/>
      <c r="L18" s="19" t="s">
        <v>36</v>
      </c>
      <c r="M18" s="20"/>
    </row>
  </sheetData>
  <mergeCells count="1">
    <mergeCell ref="D3:M3"/>
  </mergeCells>
  <dataValidations count="2">
    <dataValidation type="list" allowBlank="1" showInputMessage="1" showErrorMessage="1" sqref="I5:I18" xr:uid="{C780A808-0F78-4CF9-8F22-C80C3669697C}">
      <formula1>"AUTO_INCREMENT,*,Nullable"</formula1>
    </dataValidation>
    <dataValidation type="list" allowBlank="1" showInputMessage="1" showErrorMessage="1" sqref="K5:K18" xr:uid="{80518A1C-7774-49D7-A3C6-D6E960DAC2A8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53CAE-7D64-43E8-8E2B-CB72626D4A86}">
  <dimension ref="D3:M11"/>
  <sheetViews>
    <sheetView workbookViewId="0">
      <selection activeCell="G10" sqref="G10"/>
    </sheetView>
  </sheetViews>
  <sheetFormatPr defaultRowHeight="14.4" x14ac:dyDescent="0.3"/>
  <cols>
    <col min="4" max="4" width="7.88671875" bestFit="1" customWidth="1"/>
    <col min="5" max="5" width="14.777343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7.777343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3" x14ac:dyDescent="0.3">
      <c r="D3" s="14" t="s">
        <v>263</v>
      </c>
      <c r="E3" s="14"/>
      <c r="F3" s="14"/>
      <c r="G3" s="14"/>
      <c r="H3" s="14"/>
      <c r="I3" s="14"/>
      <c r="J3" s="14"/>
      <c r="K3" s="14"/>
      <c r="L3" s="14"/>
      <c r="M3" s="14"/>
    </row>
    <row r="4" spans="4:13" x14ac:dyDescent="0.3">
      <c r="D4" s="15" t="s">
        <v>1</v>
      </c>
      <c r="E4" s="15" t="s">
        <v>2</v>
      </c>
      <c r="F4" s="15" t="s">
        <v>3</v>
      </c>
      <c r="G4" s="15" t="s">
        <v>14</v>
      </c>
      <c r="H4" s="15" t="s">
        <v>8</v>
      </c>
      <c r="I4" s="15" t="s">
        <v>9</v>
      </c>
      <c r="J4" s="15" t="s">
        <v>10</v>
      </c>
      <c r="K4" s="15" t="s">
        <v>11</v>
      </c>
      <c r="L4" s="15" t="s">
        <v>12</v>
      </c>
      <c r="M4" s="15" t="s">
        <v>13</v>
      </c>
    </row>
    <row r="5" spans="4:13" x14ac:dyDescent="0.3">
      <c r="D5" s="15">
        <v>1</v>
      </c>
      <c r="E5" s="15" t="s">
        <v>264</v>
      </c>
      <c r="F5" s="15" t="s">
        <v>5</v>
      </c>
      <c r="G5" s="15" t="s">
        <v>15</v>
      </c>
      <c r="H5" s="15"/>
      <c r="I5" s="15" t="s">
        <v>20</v>
      </c>
      <c r="J5" s="15"/>
      <c r="K5" s="15" t="s">
        <v>18</v>
      </c>
      <c r="L5" s="15" t="s">
        <v>227</v>
      </c>
      <c r="M5" s="15"/>
    </row>
    <row r="6" spans="4:13" x14ac:dyDescent="0.3">
      <c r="D6" s="15">
        <f>D5+1</f>
        <v>2</v>
      </c>
      <c r="E6" s="15" t="s">
        <v>265</v>
      </c>
      <c r="F6" s="15" t="s">
        <v>5</v>
      </c>
      <c r="G6" s="15"/>
      <c r="H6" s="15"/>
      <c r="I6" s="15" t="s">
        <v>17</v>
      </c>
      <c r="J6" s="15" t="s">
        <v>244</v>
      </c>
      <c r="K6" s="15" t="s">
        <v>18</v>
      </c>
      <c r="L6" s="15" t="s">
        <v>140</v>
      </c>
      <c r="M6" s="16"/>
    </row>
    <row r="7" spans="4:13" x14ac:dyDescent="0.3">
      <c r="D7" s="15">
        <f t="shared" ref="D7:D11" si="0">D6+1</f>
        <v>3</v>
      </c>
      <c r="E7" s="15" t="s">
        <v>44</v>
      </c>
      <c r="F7" s="15" t="s">
        <v>45</v>
      </c>
      <c r="G7" s="15"/>
      <c r="H7" s="15"/>
      <c r="I7" s="15" t="s">
        <v>17</v>
      </c>
      <c r="J7" s="15"/>
      <c r="K7" s="15" t="s">
        <v>21</v>
      </c>
      <c r="L7" s="15" t="s">
        <v>229</v>
      </c>
      <c r="M7" s="15"/>
    </row>
    <row r="8" spans="4:13" x14ac:dyDescent="0.3">
      <c r="D8" s="15">
        <f t="shared" si="0"/>
        <v>4</v>
      </c>
      <c r="E8" s="17" t="s">
        <v>33</v>
      </c>
      <c r="F8" s="17" t="s">
        <v>5</v>
      </c>
      <c r="G8" s="17" t="s">
        <v>30</v>
      </c>
      <c r="H8" s="17"/>
      <c r="I8" s="17" t="s">
        <v>17</v>
      </c>
      <c r="J8" s="17" t="s">
        <v>35</v>
      </c>
      <c r="K8" s="17" t="s">
        <v>21</v>
      </c>
      <c r="L8" s="17" t="s">
        <v>36</v>
      </c>
      <c r="M8" s="18" t="s">
        <v>32</v>
      </c>
    </row>
    <row r="9" spans="4:13" x14ac:dyDescent="0.3">
      <c r="D9" s="15">
        <f t="shared" si="0"/>
        <v>5</v>
      </c>
      <c r="E9" s="17" t="s">
        <v>37</v>
      </c>
      <c r="F9" s="17" t="s">
        <v>38</v>
      </c>
      <c r="G9" s="17"/>
      <c r="H9" s="17"/>
      <c r="I9" s="17" t="s">
        <v>17</v>
      </c>
      <c r="J9" s="17"/>
      <c r="K9" s="17" t="s">
        <v>21</v>
      </c>
      <c r="L9" s="17" t="s">
        <v>36</v>
      </c>
      <c r="M9" s="18" t="s">
        <v>42</v>
      </c>
    </row>
    <row r="10" spans="4:13" x14ac:dyDescent="0.3">
      <c r="D10" s="15">
        <f t="shared" si="0"/>
        <v>6</v>
      </c>
      <c r="E10" s="17" t="s">
        <v>48</v>
      </c>
      <c r="F10" s="17" t="s">
        <v>5</v>
      </c>
      <c r="G10" s="17" t="s">
        <v>30</v>
      </c>
      <c r="H10" s="17"/>
      <c r="I10" s="17" t="s">
        <v>27</v>
      </c>
      <c r="J10" s="17" t="s">
        <v>35</v>
      </c>
      <c r="K10" s="17" t="s">
        <v>21</v>
      </c>
      <c r="L10" s="17" t="s">
        <v>36</v>
      </c>
      <c r="M10" s="18"/>
    </row>
    <row r="11" spans="4:13" x14ac:dyDescent="0.3">
      <c r="D11" s="15">
        <f t="shared" si="0"/>
        <v>7</v>
      </c>
      <c r="E11" s="19" t="s">
        <v>49</v>
      </c>
      <c r="F11" s="19" t="s">
        <v>41</v>
      </c>
      <c r="G11" s="19"/>
      <c r="H11" s="19"/>
      <c r="I11" s="19" t="s">
        <v>27</v>
      </c>
      <c r="J11" s="19"/>
      <c r="K11" s="19"/>
      <c r="L11" s="19" t="s">
        <v>36</v>
      </c>
      <c r="M11" s="20"/>
    </row>
  </sheetData>
  <mergeCells count="1">
    <mergeCell ref="D3:M3"/>
  </mergeCells>
  <dataValidations count="2">
    <dataValidation type="list" allowBlank="1" showInputMessage="1" showErrorMessage="1" sqref="K5:K11" xr:uid="{EF7FB4BA-3868-4E93-A2CB-E28EDE5A9CFA}">
      <formula1>"Yes,No"</formula1>
    </dataValidation>
    <dataValidation type="list" allowBlank="1" showInputMessage="1" showErrorMessage="1" sqref="I5:I11" xr:uid="{77ACB7ED-C826-4BBA-8468-D43A406FB39C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BC813-3029-416D-B5B4-D9651C6B98C8}">
  <dimension ref="D3:O26"/>
  <sheetViews>
    <sheetView workbookViewId="0">
      <selection activeCell="J10" sqref="J10"/>
    </sheetView>
  </sheetViews>
  <sheetFormatPr defaultRowHeight="14.4" x14ac:dyDescent="0.3"/>
  <cols>
    <col min="4" max="4" width="7.88671875" bestFit="1" customWidth="1"/>
    <col min="5" max="5" width="17.5546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7.777343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5" x14ac:dyDescent="0.3">
      <c r="D3" s="14" t="s">
        <v>266</v>
      </c>
      <c r="E3" s="14"/>
      <c r="F3" s="14"/>
      <c r="G3" s="14"/>
      <c r="H3" s="14"/>
      <c r="I3" s="14"/>
      <c r="J3" s="14"/>
      <c r="K3" s="14"/>
      <c r="L3" s="14"/>
      <c r="M3" s="14"/>
    </row>
    <row r="4" spans="4:15" x14ac:dyDescent="0.3">
      <c r="D4" s="15" t="s">
        <v>1</v>
      </c>
      <c r="E4" s="15" t="s">
        <v>2</v>
      </c>
      <c r="F4" s="15" t="s">
        <v>3</v>
      </c>
      <c r="G4" s="15" t="s">
        <v>14</v>
      </c>
      <c r="H4" s="15" t="s">
        <v>8</v>
      </c>
      <c r="I4" s="15" t="s">
        <v>9</v>
      </c>
      <c r="J4" s="15" t="s">
        <v>10</v>
      </c>
      <c r="K4" s="15" t="s">
        <v>11</v>
      </c>
      <c r="L4" s="15" t="s">
        <v>12</v>
      </c>
      <c r="M4" s="15" t="s">
        <v>13</v>
      </c>
    </row>
    <row r="5" spans="4:15" x14ac:dyDescent="0.3">
      <c r="D5" s="15">
        <v>1</v>
      </c>
      <c r="E5" s="15" t="s">
        <v>267</v>
      </c>
      <c r="F5" s="15" t="s">
        <v>5</v>
      </c>
      <c r="G5" s="15" t="s">
        <v>15</v>
      </c>
      <c r="H5" s="15"/>
      <c r="I5" s="15" t="s">
        <v>20</v>
      </c>
      <c r="J5" s="15"/>
      <c r="K5" s="15" t="s">
        <v>18</v>
      </c>
      <c r="L5" s="15" t="s">
        <v>227</v>
      </c>
      <c r="M5" s="15"/>
      <c r="O5" t="s">
        <v>293</v>
      </c>
    </row>
    <row r="6" spans="4:15" x14ac:dyDescent="0.3">
      <c r="D6" s="15">
        <f>D5+1</f>
        <v>2</v>
      </c>
      <c r="E6" s="15" t="s">
        <v>268</v>
      </c>
      <c r="F6" s="15" t="s">
        <v>5</v>
      </c>
      <c r="G6" s="15"/>
      <c r="H6" s="15"/>
      <c r="I6" s="15" t="s">
        <v>17</v>
      </c>
      <c r="J6" s="15" t="s">
        <v>244</v>
      </c>
      <c r="K6" s="15" t="s">
        <v>18</v>
      </c>
      <c r="L6" s="15" t="s">
        <v>289</v>
      </c>
      <c r="M6" s="16"/>
      <c r="O6" t="s">
        <v>294</v>
      </c>
    </row>
    <row r="7" spans="4:15" x14ac:dyDescent="0.3">
      <c r="D7" s="15">
        <f t="shared" ref="D7:D26" si="0">D6+1</f>
        <v>3</v>
      </c>
      <c r="E7" s="15" t="s">
        <v>77</v>
      </c>
      <c r="F7" s="15" t="s">
        <v>5</v>
      </c>
      <c r="G7" s="15"/>
      <c r="H7" s="15"/>
      <c r="I7" s="15" t="s">
        <v>17</v>
      </c>
      <c r="J7" s="15" t="s">
        <v>214</v>
      </c>
      <c r="K7" s="15" t="s">
        <v>18</v>
      </c>
      <c r="L7" s="15" t="s">
        <v>140</v>
      </c>
      <c r="M7" s="15"/>
      <c r="O7" t="s">
        <v>295</v>
      </c>
    </row>
    <row r="8" spans="4:15" x14ac:dyDescent="0.3">
      <c r="D8" s="15">
        <f t="shared" si="0"/>
        <v>4</v>
      </c>
      <c r="E8" s="15" t="s">
        <v>270</v>
      </c>
      <c r="F8" s="15" t="s">
        <v>5</v>
      </c>
      <c r="G8" s="15"/>
      <c r="H8" s="15"/>
      <c r="I8" s="15"/>
      <c r="J8" t="s">
        <v>92</v>
      </c>
      <c r="K8" s="15"/>
      <c r="L8" s="15" t="s">
        <v>290</v>
      </c>
      <c r="M8" s="15"/>
      <c r="O8" t="s">
        <v>296</v>
      </c>
    </row>
    <row r="9" spans="4:15" x14ac:dyDescent="0.3">
      <c r="D9" s="15">
        <f t="shared" si="0"/>
        <v>5</v>
      </c>
      <c r="E9" s="15" t="s">
        <v>269</v>
      </c>
      <c r="F9" s="15" t="s">
        <v>5</v>
      </c>
      <c r="G9" s="15"/>
      <c r="H9" s="15"/>
      <c r="I9" s="15"/>
      <c r="J9" t="s">
        <v>92</v>
      </c>
      <c r="K9" s="15"/>
      <c r="L9" s="15" t="s">
        <v>291</v>
      </c>
      <c r="M9" s="15"/>
      <c r="O9" t="s">
        <v>297</v>
      </c>
    </row>
    <row r="10" spans="4:15" x14ac:dyDescent="0.3">
      <c r="D10" s="15">
        <f t="shared" si="0"/>
        <v>6</v>
      </c>
      <c r="E10" s="15" t="s">
        <v>271</v>
      </c>
      <c r="F10" s="15" t="s">
        <v>5</v>
      </c>
      <c r="G10" s="15"/>
      <c r="H10" s="15"/>
      <c r="I10" s="15"/>
      <c r="J10" t="s">
        <v>92</v>
      </c>
      <c r="K10" s="15"/>
      <c r="L10" s="15" t="s">
        <v>271</v>
      </c>
      <c r="M10" s="15"/>
    </row>
    <row r="11" spans="4:15" x14ac:dyDescent="0.3">
      <c r="D11" s="15">
        <f t="shared" si="0"/>
        <v>7</v>
      </c>
      <c r="E11" s="15" t="s">
        <v>272</v>
      </c>
      <c r="F11" s="15" t="s">
        <v>38</v>
      </c>
      <c r="G11" s="15"/>
      <c r="H11" s="15"/>
      <c r="I11" s="15"/>
      <c r="J11" s="15"/>
      <c r="K11" s="15"/>
      <c r="L11" s="15" t="s">
        <v>298</v>
      </c>
      <c r="M11" s="15"/>
    </row>
    <row r="12" spans="4:15" x14ac:dyDescent="0.3">
      <c r="D12" s="15">
        <f t="shared" si="0"/>
        <v>8</v>
      </c>
      <c r="E12" s="15" t="s">
        <v>196</v>
      </c>
      <c r="F12" s="15" t="s">
        <v>38</v>
      </c>
      <c r="G12" s="15"/>
      <c r="H12" s="15"/>
      <c r="I12" s="15"/>
      <c r="J12" s="15"/>
      <c r="K12" s="15"/>
      <c r="L12" s="15" t="s">
        <v>299</v>
      </c>
      <c r="M12" s="15"/>
    </row>
    <row r="13" spans="4:15" x14ac:dyDescent="0.3">
      <c r="D13" s="15">
        <f t="shared" si="0"/>
        <v>9</v>
      </c>
      <c r="E13" s="15" t="s">
        <v>273</v>
      </c>
      <c r="F13" s="15" t="s">
        <v>187</v>
      </c>
      <c r="G13" s="15"/>
      <c r="H13" s="15"/>
      <c r="I13" s="15"/>
      <c r="J13" s="15"/>
      <c r="K13" s="15"/>
      <c r="L13" s="15" t="s">
        <v>300</v>
      </c>
      <c r="M13" s="15"/>
    </row>
    <row r="14" spans="4:15" x14ac:dyDescent="0.3">
      <c r="D14" s="15">
        <f t="shared" ref="D14:D18" si="1">D13+1</f>
        <v>10</v>
      </c>
      <c r="E14" s="15" t="s">
        <v>274</v>
      </c>
      <c r="F14" s="15" t="s">
        <v>5</v>
      </c>
      <c r="G14" s="15"/>
      <c r="H14" s="15"/>
      <c r="I14" s="15"/>
      <c r="J14" s="15"/>
      <c r="K14" s="15"/>
      <c r="L14" s="15" t="s">
        <v>301</v>
      </c>
      <c r="M14" s="15"/>
    </row>
    <row r="15" spans="4:15" x14ac:dyDescent="0.3">
      <c r="D15" s="15">
        <f t="shared" si="1"/>
        <v>11</v>
      </c>
      <c r="E15" s="15" t="s">
        <v>275</v>
      </c>
      <c r="F15" s="15" t="s">
        <v>38</v>
      </c>
      <c r="G15" s="15"/>
      <c r="H15" s="15"/>
      <c r="I15" s="15"/>
      <c r="J15" s="15"/>
      <c r="K15" s="15"/>
      <c r="L15" s="15" t="s">
        <v>302</v>
      </c>
      <c r="M15" s="15"/>
    </row>
    <row r="16" spans="4:15" x14ac:dyDescent="0.3">
      <c r="D16" s="15">
        <f t="shared" si="1"/>
        <v>12</v>
      </c>
      <c r="E16" s="15" t="s">
        <v>276</v>
      </c>
      <c r="F16" s="15" t="s">
        <v>38</v>
      </c>
      <c r="G16" s="15"/>
      <c r="H16" s="15"/>
      <c r="I16" s="15"/>
      <c r="J16" s="15"/>
      <c r="K16" s="15"/>
      <c r="L16" s="15" t="s">
        <v>303</v>
      </c>
      <c r="M16" s="15"/>
    </row>
    <row r="17" spans="4:13" x14ac:dyDescent="0.3">
      <c r="D17" s="15">
        <f t="shared" si="1"/>
        <v>13</v>
      </c>
      <c r="E17" s="15" t="s">
        <v>277</v>
      </c>
      <c r="F17" s="15" t="s">
        <v>7</v>
      </c>
      <c r="G17" s="15"/>
      <c r="H17" s="15">
        <v>20</v>
      </c>
      <c r="I17" s="15"/>
      <c r="J17" s="15"/>
      <c r="K17" s="15"/>
      <c r="L17" s="15" t="s">
        <v>304</v>
      </c>
      <c r="M17" s="15"/>
    </row>
    <row r="18" spans="4:13" x14ac:dyDescent="0.3">
      <c r="D18" s="15">
        <f t="shared" si="1"/>
        <v>14</v>
      </c>
      <c r="E18" s="15" t="s">
        <v>278</v>
      </c>
      <c r="F18" s="15" t="s">
        <v>5</v>
      </c>
      <c r="G18" s="15"/>
      <c r="H18" s="15"/>
      <c r="I18" s="15"/>
      <c r="J18" s="15"/>
      <c r="K18" s="15"/>
      <c r="L18" s="15" t="s">
        <v>305</v>
      </c>
      <c r="M18" s="15"/>
    </row>
    <row r="19" spans="4:13" x14ac:dyDescent="0.3">
      <c r="D19" s="15">
        <f t="shared" ref="D19:D26" si="2">D18+1</f>
        <v>15</v>
      </c>
      <c r="E19" s="15" t="s">
        <v>279</v>
      </c>
      <c r="F19" s="15" t="s">
        <v>45</v>
      </c>
      <c r="G19" s="15"/>
      <c r="H19" s="15"/>
      <c r="I19" s="15"/>
      <c r="J19" s="15"/>
      <c r="K19" s="15"/>
      <c r="L19" s="15" t="s">
        <v>306</v>
      </c>
      <c r="M19" s="15"/>
    </row>
    <row r="20" spans="4:13" x14ac:dyDescent="0.3">
      <c r="D20" s="15">
        <f t="shared" si="2"/>
        <v>16</v>
      </c>
      <c r="E20" s="15" t="s">
        <v>287</v>
      </c>
      <c r="F20" s="15" t="s">
        <v>45</v>
      </c>
      <c r="G20" s="15"/>
      <c r="H20" s="15"/>
      <c r="I20" s="15"/>
      <c r="J20" s="15"/>
      <c r="K20" s="15"/>
      <c r="L20" s="15" t="s">
        <v>307</v>
      </c>
      <c r="M20" s="15"/>
    </row>
    <row r="21" spans="4:13" x14ac:dyDescent="0.3">
      <c r="D21" s="15">
        <f t="shared" si="2"/>
        <v>17</v>
      </c>
      <c r="E21" s="15" t="s">
        <v>288</v>
      </c>
      <c r="F21" s="15" t="s">
        <v>5</v>
      </c>
      <c r="G21" s="15"/>
      <c r="H21" s="15"/>
      <c r="I21" s="15"/>
      <c r="J21" s="15"/>
      <c r="K21" s="15"/>
      <c r="L21" s="15" t="s">
        <v>292</v>
      </c>
      <c r="M21" s="15"/>
    </row>
    <row r="22" spans="4:13" x14ac:dyDescent="0.3">
      <c r="D22" s="15">
        <f t="shared" si="2"/>
        <v>18</v>
      </c>
      <c r="E22" s="15" t="s">
        <v>44</v>
      </c>
      <c r="F22" s="15" t="s">
        <v>45</v>
      </c>
      <c r="G22" s="15"/>
      <c r="H22" s="15"/>
      <c r="I22" s="15" t="s">
        <v>17</v>
      </c>
      <c r="J22" s="15"/>
      <c r="K22" s="15" t="s">
        <v>21</v>
      </c>
      <c r="L22" s="15" t="s">
        <v>308</v>
      </c>
      <c r="M22" s="15"/>
    </row>
    <row r="23" spans="4:13" x14ac:dyDescent="0.3">
      <c r="D23" s="15">
        <f t="shared" si="2"/>
        <v>19</v>
      </c>
      <c r="E23" s="17" t="s">
        <v>33</v>
      </c>
      <c r="F23" s="17" t="s">
        <v>5</v>
      </c>
      <c r="G23" s="17" t="s">
        <v>30</v>
      </c>
      <c r="H23" s="17"/>
      <c r="I23" s="17" t="s">
        <v>17</v>
      </c>
      <c r="J23" s="17" t="s">
        <v>35</v>
      </c>
      <c r="K23" s="17" t="s">
        <v>21</v>
      </c>
      <c r="L23" s="17" t="s">
        <v>36</v>
      </c>
      <c r="M23" s="18" t="s">
        <v>32</v>
      </c>
    </row>
    <row r="24" spans="4:13" x14ac:dyDescent="0.3">
      <c r="D24" s="15">
        <f t="shared" si="2"/>
        <v>20</v>
      </c>
      <c r="E24" s="17" t="s">
        <v>37</v>
      </c>
      <c r="F24" s="17" t="s">
        <v>38</v>
      </c>
      <c r="G24" s="17"/>
      <c r="H24" s="17"/>
      <c r="I24" s="17" t="s">
        <v>17</v>
      </c>
      <c r="J24" s="17"/>
      <c r="K24" s="17" t="s">
        <v>21</v>
      </c>
      <c r="L24" s="17" t="s">
        <v>36</v>
      </c>
      <c r="M24" s="18" t="s">
        <v>42</v>
      </c>
    </row>
    <row r="25" spans="4:13" x14ac:dyDescent="0.3">
      <c r="D25" s="15">
        <f t="shared" si="2"/>
        <v>21</v>
      </c>
      <c r="E25" s="17" t="s">
        <v>48</v>
      </c>
      <c r="F25" s="17" t="s">
        <v>5</v>
      </c>
      <c r="G25" s="17" t="s">
        <v>30</v>
      </c>
      <c r="H25" s="17"/>
      <c r="I25" s="17" t="s">
        <v>27</v>
      </c>
      <c r="J25" s="17" t="s">
        <v>35</v>
      </c>
      <c r="K25" s="17" t="s">
        <v>21</v>
      </c>
      <c r="L25" s="17" t="s">
        <v>36</v>
      </c>
      <c r="M25" s="18"/>
    </row>
    <row r="26" spans="4:13" x14ac:dyDescent="0.3">
      <c r="D26" s="15">
        <f t="shared" si="2"/>
        <v>22</v>
      </c>
      <c r="E26" s="19" t="s">
        <v>49</v>
      </c>
      <c r="F26" s="19" t="s">
        <v>41</v>
      </c>
      <c r="G26" s="19"/>
      <c r="H26" s="19"/>
      <c r="I26" s="19" t="s">
        <v>27</v>
      </c>
      <c r="J26" s="19"/>
      <c r="K26" s="19"/>
      <c r="L26" s="19" t="s">
        <v>36</v>
      </c>
      <c r="M26" s="20"/>
    </row>
  </sheetData>
  <mergeCells count="1">
    <mergeCell ref="D3:M3"/>
  </mergeCells>
  <dataValidations count="2">
    <dataValidation type="list" allowBlank="1" showInputMessage="1" showErrorMessage="1" sqref="K5:K26" xr:uid="{48ED9BF5-7563-421E-886A-A488E4011D53}">
      <formula1>"Yes,No"</formula1>
    </dataValidation>
    <dataValidation type="list" allowBlank="1" showInputMessage="1" showErrorMessage="1" sqref="I5:I26" xr:uid="{14BD3483-7C7D-4F89-838C-E28832C5C245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0FED8-C062-46BB-B8CE-632DF5E27C7D}">
  <dimension ref="D3:M15"/>
  <sheetViews>
    <sheetView workbookViewId="0">
      <selection activeCell="J8" sqref="J8"/>
    </sheetView>
  </sheetViews>
  <sheetFormatPr defaultRowHeight="14.4" x14ac:dyDescent="0.3"/>
  <cols>
    <col min="4" max="4" width="7.88671875" bestFit="1" customWidth="1"/>
    <col min="5" max="5" width="16.4414062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27.77734375" bestFit="1" customWidth="1"/>
    <col min="11" max="11" width="7.88671875" bestFit="1" customWidth="1"/>
    <col min="12" max="12" width="21.109375" bestFit="1" customWidth="1"/>
    <col min="13" max="13" width="21.88671875" bestFit="1" customWidth="1"/>
  </cols>
  <sheetData>
    <row r="3" spans="4:13" x14ac:dyDescent="0.3">
      <c r="D3" s="14" t="s">
        <v>280</v>
      </c>
      <c r="E3" s="14"/>
      <c r="F3" s="14"/>
      <c r="G3" s="14"/>
      <c r="H3" s="14"/>
      <c r="I3" s="14"/>
      <c r="J3" s="14"/>
      <c r="K3" s="14"/>
      <c r="L3" s="14"/>
      <c r="M3" s="14"/>
    </row>
    <row r="4" spans="4:13" x14ac:dyDescent="0.3">
      <c r="D4" s="15" t="s">
        <v>1</v>
      </c>
      <c r="E4" s="15" t="s">
        <v>2</v>
      </c>
      <c r="F4" s="15" t="s">
        <v>3</v>
      </c>
      <c r="G4" s="15" t="s">
        <v>14</v>
      </c>
      <c r="H4" s="15" t="s">
        <v>8</v>
      </c>
      <c r="I4" s="15" t="s">
        <v>9</v>
      </c>
      <c r="J4" s="15" t="s">
        <v>10</v>
      </c>
      <c r="K4" s="15" t="s">
        <v>11</v>
      </c>
      <c r="L4" s="15" t="s">
        <v>12</v>
      </c>
      <c r="M4" s="15" t="s">
        <v>13</v>
      </c>
    </row>
    <row r="5" spans="4:13" x14ac:dyDescent="0.3">
      <c r="D5" s="15">
        <v>1</v>
      </c>
      <c r="E5" s="15" t="s">
        <v>283</v>
      </c>
      <c r="F5" s="15" t="s">
        <v>5</v>
      </c>
      <c r="G5" s="15" t="s">
        <v>15</v>
      </c>
      <c r="H5" s="15"/>
      <c r="I5" s="15" t="s">
        <v>20</v>
      </c>
      <c r="J5" s="15"/>
      <c r="K5" s="15" t="s">
        <v>18</v>
      </c>
      <c r="L5" s="15" t="s">
        <v>227</v>
      </c>
      <c r="M5" s="15"/>
    </row>
    <row r="6" spans="4:13" x14ac:dyDescent="0.3">
      <c r="D6" s="15">
        <f>D5+1</f>
        <v>2</v>
      </c>
      <c r="E6" s="15" t="s">
        <v>282</v>
      </c>
      <c r="F6" s="15" t="s">
        <v>5</v>
      </c>
      <c r="G6" s="15"/>
      <c r="H6" s="15"/>
      <c r="I6" s="15" t="s">
        <v>17</v>
      </c>
      <c r="J6" s="15" t="s">
        <v>244</v>
      </c>
      <c r="K6" s="15" t="s">
        <v>18</v>
      </c>
      <c r="L6" s="15" t="s">
        <v>140</v>
      </c>
      <c r="M6" s="16"/>
    </row>
    <row r="7" spans="4:13" x14ac:dyDescent="0.3">
      <c r="D7" s="15">
        <f t="shared" ref="D7:D15" si="0">D6+1</f>
        <v>3</v>
      </c>
      <c r="E7" s="15" t="s">
        <v>281</v>
      </c>
      <c r="F7" s="15" t="s">
        <v>5</v>
      </c>
      <c r="G7" s="15"/>
      <c r="H7" s="15"/>
      <c r="I7" s="15" t="s">
        <v>17</v>
      </c>
      <c r="J7" s="15" t="s">
        <v>214</v>
      </c>
      <c r="K7" s="15" t="s">
        <v>18</v>
      </c>
      <c r="L7" s="15" t="s">
        <v>228</v>
      </c>
      <c r="M7" s="15"/>
    </row>
    <row r="8" spans="4:13" x14ac:dyDescent="0.3">
      <c r="D8" s="15">
        <f t="shared" si="0"/>
        <v>4</v>
      </c>
      <c r="E8" s="15" t="s">
        <v>284</v>
      </c>
      <c r="F8" s="15" t="s">
        <v>5</v>
      </c>
      <c r="G8" s="15"/>
      <c r="H8" s="15"/>
      <c r="I8" s="15" t="s">
        <v>17</v>
      </c>
      <c r="J8" s="15"/>
      <c r="K8" s="15"/>
      <c r="L8" s="15" t="s">
        <v>309</v>
      </c>
      <c r="M8" s="15"/>
    </row>
    <row r="9" spans="4:13" x14ac:dyDescent="0.3">
      <c r="D9" s="15">
        <f t="shared" si="0"/>
        <v>5</v>
      </c>
      <c r="E9" s="15" t="s">
        <v>285</v>
      </c>
      <c r="F9" s="15" t="s">
        <v>45</v>
      </c>
      <c r="G9" s="15"/>
      <c r="H9" s="15"/>
      <c r="I9" s="15" t="s">
        <v>17</v>
      </c>
      <c r="J9" s="15"/>
      <c r="K9" s="15"/>
      <c r="L9" s="15" t="s">
        <v>310</v>
      </c>
      <c r="M9" s="15"/>
    </row>
    <row r="10" spans="4:13" x14ac:dyDescent="0.3">
      <c r="D10" s="15">
        <f t="shared" ref="D10:D15" si="1">D9+1</f>
        <v>6</v>
      </c>
      <c r="E10" s="15" t="s">
        <v>286</v>
      </c>
      <c r="F10" s="15" t="s">
        <v>45</v>
      </c>
      <c r="G10" s="15"/>
      <c r="H10" s="15"/>
      <c r="I10" s="15" t="s">
        <v>17</v>
      </c>
      <c r="J10" s="15"/>
      <c r="K10" s="15"/>
      <c r="L10" s="15" t="s">
        <v>311</v>
      </c>
      <c r="M10" s="15"/>
    </row>
    <row r="11" spans="4:13" x14ac:dyDescent="0.3">
      <c r="D11" s="15">
        <f t="shared" si="1"/>
        <v>7</v>
      </c>
      <c r="E11" s="15" t="s">
        <v>44</v>
      </c>
      <c r="F11" s="15" t="s">
        <v>45</v>
      </c>
      <c r="G11" s="15"/>
      <c r="H11" s="15"/>
      <c r="I11" s="15" t="s">
        <v>17</v>
      </c>
      <c r="J11" s="15"/>
      <c r="K11" s="15" t="s">
        <v>21</v>
      </c>
      <c r="L11" s="15" t="s">
        <v>229</v>
      </c>
      <c r="M11" s="15"/>
    </row>
    <row r="12" spans="4:13" x14ac:dyDescent="0.3">
      <c r="D12" s="15">
        <f t="shared" si="1"/>
        <v>8</v>
      </c>
      <c r="E12" s="17" t="s">
        <v>33</v>
      </c>
      <c r="F12" s="17" t="s">
        <v>5</v>
      </c>
      <c r="G12" s="17" t="s">
        <v>30</v>
      </c>
      <c r="H12" s="17"/>
      <c r="I12" s="17" t="s">
        <v>17</v>
      </c>
      <c r="J12" s="17" t="s">
        <v>35</v>
      </c>
      <c r="K12" s="17" t="s">
        <v>21</v>
      </c>
      <c r="L12" s="17" t="s">
        <v>36</v>
      </c>
      <c r="M12" s="18" t="s">
        <v>32</v>
      </c>
    </row>
    <row r="13" spans="4:13" x14ac:dyDescent="0.3">
      <c r="D13" s="15">
        <f t="shared" si="1"/>
        <v>9</v>
      </c>
      <c r="E13" s="17" t="s">
        <v>37</v>
      </c>
      <c r="F13" s="17" t="s">
        <v>38</v>
      </c>
      <c r="G13" s="17"/>
      <c r="H13" s="17"/>
      <c r="I13" s="17" t="s">
        <v>17</v>
      </c>
      <c r="J13" s="17"/>
      <c r="K13" s="17" t="s">
        <v>21</v>
      </c>
      <c r="L13" s="17" t="s">
        <v>36</v>
      </c>
      <c r="M13" s="18" t="s">
        <v>42</v>
      </c>
    </row>
    <row r="14" spans="4:13" x14ac:dyDescent="0.3">
      <c r="D14" s="15">
        <f t="shared" si="1"/>
        <v>10</v>
      </c>
      <c r="E14" s="17" t="s">
        <v>48</v>
      </c>
      <c r="F14" s="17" t="s">
        <v>5</v>
      </c>
      <c r="G14" s="17" t="s">
        <v>30</v>
      </c>
      <c r="H14" s="17"/>
      <c r="I14" s="17" t="s">
        <v>27</v>
      </c>
      <c r="J14" s="17" t="s">
        <v>35</v>
      </c>
      <c r="K14" s="17" t="s">
        <v>21</v>
      </c>
      <c r="L14" s="17" t="s">
        <v>36</v>
      </c>
      <c r="M14" s="18"/>
    </row>
    <row r="15" spans="4:13" x14ac:dyDescent="0.3">
      <c r="D15" s="15">
        <f t="shared" si="1"/>
        <v>11</v>
      </c>
      <c r="E15" s="19" t="s">
        <v>49</v>
      </c>
      <c r="F15" s="19" t="s">
        <v>41</v>
      </c>
      <c r="G15" s="19"/>
      <c r="H15" s="19"/>
      <c r="I15" s="19" t="s">
        <v>27</v>
      </c>
      <c r="J15" s="19"/>
      <c r="K15" s="19"/>
      <c r="L15" s="19" t="s">
        <v>36</v>
      </c>
      <c r="M15" s="20"/>
    </row>
  </sheetData>
  <mergeCells count="1">
    <mergeCell ref="D3:M3"/>
  </mergeCells>
  <dataValidations count="2">
    <dataValidation type="list" allowBlank="1" showInputMessage="1" showErrorMessage="1" sqref="I5:I15" xr:uid="{7D6D1249-9D9C-4836-926A-6F9AFD64ECB2}">
      <formula1>"AUTO_INCREMENT,*,Nullable"</formula1>
    </dataValidation>
    <dataValidation type="list" allowBlank="1" showInputMessage="1" showErrorMessage="1" sqref="K5:K15" xr:uid="{544842B6-3F84-4C74-9D32-560FF965249F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A22B7-0526-4134-9268-88B8A47AF56B}">
  <dimension ref="D3:M19"/>
  <sheetViews>
    <sheetView workbookViewId="0">
      <selection activeCell="J12" sqref="J12"/>
    </sheetView>
  </sheetViews>
  <sheetFormatPr defaultRowHeight="14.4" x14ac:dyDescent="0.3"/>
  <cols>
    <col min="4" max="4" width="7.88671875" bestFit="1" customWidth="1"/>
    <col min="5" max="5" width="15.88671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21.109375" bestFit="1" customWidth="1"/>
    <col min="13" max="13" width="21.88671875" bestFit="1" customWidth="1"/>
  </cols>
  <sheetData>
    <row r="3" spans="4:13" x14ac:dyDescent="0.3">
      <c r="D3" s="14" t="s">
        <v>312</v>
      </c>
      <c r="E3" s="14"/>
      <c r="F3" s="14"/>
      <c r="G3" s="14"/>
      <c r="H3" s="14"/>
      <c r="I3" s="14"/>
      <c r="J3" s="14"/>
      <c r="K3" s="14"/>
      <c r="L3" s="14"/>
      <c r="M3" s="14"/>
    </row>
    <row r="4" spans="4:13" x14ac:dyDescent="0.3">
      <c r="D4" s="15" t="s">
        <v>1</v>
      </c>
      <c r="E4" s="15" t="s">
        <v>2</v>
      </c>
      <c r="F4" s="15" t="s">
        <v>3</v>
      </c>
      <c r="G4" s="15" t="s">
        <v>14</v>
      </c>
      <c r="H4" s="15" t="s">
        <v>8</v>
      </c>
      <c r="I4" s="15" t="s">
        <v>9</v>
      </c>
      <c r="J4" s="15" t="s">
        <v>10</v>
      </c>
      <c r="K4" s="15" t="s">
        <v>11</v>
      </c>
      <c r="L4" s="15" t="s">
        <v>12</v>
      </c>
      <c r="M4" s="15" t="s">
        <v>13</v>
      </c>
    </row>
    <row r="5" spans="4:13" x14ac:dyDescent="0.3">
      <c r="D5" s="15">
        <v>1</v>
      </c>
      <c r="E5" s="15" t="s">
        <v>313</v>
      </c>
      <c r="F5" s="15" t="s">
        <v>5</v>
      </c>
      <c r="G5" s="15" t="s">
        <v>15</v>
      </c>
      <c r="H5" s="15"/>
      <c r="I5" s="15" t="s">
        <v>20</v>
      </c>
      <c r="J5" s="15"/>
      <c r="K5" s="15" t="s">
        <v>18</v>
      </c>
      <c r="L5" s="15" t="s">
        <v>227</v>
      </c>
      <c r="M5" s="15"/>
    </row>
    <row r="6" spans="4:13" x14ac:dyDescent="0.3">
      <c r="D6" s="15">
        <f>D5+1</f>
        <v>2</v>
      </c>
      <c r="E6" s="15" t="s">
        <v>315</v>
      </c>
      <c r="F6" s="15" t="s">
        <v>7</v>
      </c>
      <c r="G6" s="15"/>
      <c r="H6" s="15"/>
      <c r="I6" s="15" t="s">
        <v>17</v>
      </c>
      <c r="J6" s="15" t="s">
        <v>244</v>
      </c>
      <c r="K6" s="15" t="s">
        <v>18</v>
      </c>
      <c r="L6" s="15" t="s">
        <v>323</v>
      </c>
      <c r="M6" s="16"/>
    </row>
    <row r="7" spans="4:13" x14ac:dyDescent="0.3">
      <c r="D7" s="15">
        <f t="shared" ref="D7:D19" si="0">D6+1</f>
        <v>3</v>
      </c>
      <c r="E7" s="15" t="s">
        <v>316</v>
      </c>
      <c r="F7" s="15" t="s">
        <v>7</v>
      </c>
      <c r="G7" s="15"/>
      <c r="H7" s="15"/>
      <c r="I7" s="15" t="s">
        <v>27</v>
      </c>
      <c r="J7" s="15" t="s">
        <v>214</v>
      </c>
      <c r="K7" s="15" t="s">
        <v>18</v>
      </c>
      <c r="L7" s="15" t="s">
        <v>324</v>
      </c>
      <c r="M7" s="15"/>
    </row>
    <row r="8" spans="4:13" x14ac:dyDescent="0.3">
      <c r="D8" s="15">
        <f t="shared" si="0"/>
        <v>4</v>
      </c>
      <c r="E8" s="15" t="s">
        <v>317</v>
      </c>
      <c r="F8" s="15" t="s">
        <v>7</v>
      </c>
      <c r="G8" s="15"/>
      <c r="H8" s="15"/>
      <c r="I8" s="15" t="s">
        <v>27</v>
      </c>
      <c r="J8" s="15"/>
      <c r="K8" s="15"/>
      <c r="L8" s="15" t="s">
        <v>325</v>
      </c>
      <c r="M8" s="15"/>
    </row>
    <row r="9" spans="4:13" x14ac:dyDescent="0.3">
      <c r="D9" s="15">
        <f t="shared" si="0"/>
        <v>5</v>
      </c>
      <c r="E9" s="15" t="s">
        <v>314</v>
      </c>
      <c r="F9" s="15" t="s">
        <v>7</v>
      </c>
      <c r="G9" s="15"/>
      <c r="H9" s="15"/>
      <c r="I9" s="15" t="s">
        <v>17</v>
      </c>
      <c r="J9" s="15"/>
      <c r="K9" s="15"/>
      <c r="L9" s="15" t="s">
        <v>326</v>
      </c>
      <c r="M9" s="15"/>
    </row>
    <row r="10" spans="4:13" x14ac:dyDescent="0.3">
      <c r="D10" s="15">
        <f t="shared" si="0"/>
        <v>6</v>
      </c>
      <c r="E10" s="15" t="s">
        <v>319</v>
      </c>
      <c r="F10" s="15" t="s">
        <v>45</v>
      </c>
      <c r="G10" s="15"/>
      <c r="H10" s="15"/>
      <c r="I10" s="15" t="s">
        <v>17</v>
      </c>
      <c r="J10" s="15"/>
      <c r="K10" s="15"/>
      <c r="L10" s="15" t="s">
        <v>327</v>
      </c>
      <c r="M10" s="15"/>
    </row>
    <row r="11" spans="4:13" x14ac:dyDescent="0.3">
      <c r="D11" s="15">
        <f t="shared" si="0"/>
        <v>7</v>
      </c>
      <c r="E11" s="15" t="s">
        <v>318</v>
      </c>
      <c r="F11" s="15" t="s">
        <v>45</v>
      </c>
      <c r="G11" s="15"/>
      <c r="H11" s="15"/>
      <c r="I11" s="15" t="s">
        <v>17</v>
      </c>
      <c r="J11" s="15"/>
      <c r="K11" s="15" t="s">
        <v>21</v>
      </c>
      <c r="L11" s="15" t="s">
        <v>328</v>
      </c>
      <c r="M11" s="15"/>
    </row>
    <row r="12" spans="4:13" x14ac:dyDescent="0.3">
      <c r="D12" s="15">
        <f>D11+1</f>
        <v>8</v>
      </c>
      <c r="E12" s="15" t="s">
        <v>320</v>
      </c>
      <c r="F12" s="15" t="s">
        <v>5</v>
      </c>
      <c r="G12" s="15"/>
      <c r="H12" s="15"/>
      <c r="I12" s="15" t="s">
        <v>17</v>
      </c>
      <c r="J12" t="s">
        <v>92</v>
      </c>
      <c r="K12" s="15"/>
      <c r="L12" s="15" t="s">
        <v>320</v>
      </c>
      <c r="M12" s="15"/>
    </row>
    <row r="13" spans="4:13" x14ac:dyDescent="0.3">
      <c r="D13" s="15">
        <f t="shared" ref="D13:D14" si="1">D12+1</f>
        <v>9</v>
      </c>
      <c r="E13" s="15" t="s">
        <v>321</v>
      </c>
      <c r="F13" s="15" t="s">
        <v>5</v>
      </c>
      <c r="G13" s="15"/>
      <c r="H13" s="15"/>
      <c r="I13" s="15" t="s">
        <v>17</v>
      </c>
      <c r="J13" t="s">
        <v>92</v>
      </c>
      <c r="K13" s="15"/>
      <c r="L13" s="15" t="s">
        <v>321</v>
      </c>
      <c r="M13" s="15"/>
    </row>
    <row r="14" spans="4:13" x14ac:dyDescent="0.3">
      <c r="D14" s="15">
        <f t="shared" si="1"/>
        <v>10</v>
      </c>
      <c r="E14" s="15" t="s">
        <v>322</v>
      </c>
      <c r="F14" s="15" t="s">
        <v>7</v>
      </c>
      <c r="G14" s="15"/>
      <c r="H14" s="15"/>
      <c r="I14" s="15" t="s">
        <v>27</v>
      </c>
      <c r="J14" s="15"/>
      <c r="K14" s="15"/>
      <c r="L14" s="15" t="s">
        <v>322</v>
      </c>
      <c r="M14" s="15"/>
    </row>
    <row r="15" spans="4:13" x14ac:dyDescent="0.3">
      <c r="D15" s="15">
        <f>D14+1</f>
        <v>11</v>
      </c>
      <c r="E15" s="15" t="s">
        <v>44</v>
      </c>
      <c r="F15" s="15" t="s">
        <v>45</v>
      </c>
      <c r="G15" s="15"/>
      <c r="H15" s="15"/>
      <c r="I15" s="15" t="s">
        <v>17</v>
      </c>
      <c r="J15" s="15"/>
      <c r="K15" s="15"/>
      <c r="L15" s="15" t="s">
        <v>44</v>
      </c>
      <c r="M15" s="15"/>
    </row>
    <row r="16" spans="4:13" x14ac:dyDescent="0.3">
      <c r="D16" s="15">
        <f>D11+1</f>
        <v>8</v>
      </c>
      <c r="E16" s="17" t="s">
        <v>33</v>
      </c>
      <c r="F16" s="17" t="s">
        <v>5</v>
      </c>
      <c r="G16" s="17" t="s">
        <v>30</v>
      </c>
      <c r="H16" s="17"/>
      <c r="I16" s="17" t="s">
        <v>17</v>
      </c>
      <c r="J16" s="17" t="s">
        <v>35</v>
      </c>
      <c r="K16" s="17" t="s">
        <v>21</v>
      </c>
      <c r="L16" s="17" t="s">
        <v>36</v>
      </c>
      <c r="M16" s="18" t="s">
        <v>32</v>
      </c>
    </row>
    <row r="17" spans="4:13" x14ac:dyDescent="0.3">
      <c r="D17" s="15">
        <f t="shared" si="0"/>
        <v>9</v>
      </c>
      <c r="E17" s="17" t="s">
        <v>37</v>
      </c>
      <c r="F17" s="17" t="s">
        <v>38</v>
      </c>
      <c r="G17" s="17"/>
      <c r="H17" s="17"/>
      <c r="I17" s="17" t="s">
        <v>17</v>
      </c>
      <c r="J17" s="17"/>
      <c r="K17" s="17" t="s">
        <v>21</v>
      </c>
      <c r="L17" s="17" t="s">
        <v>36</v>
      </c>
      <c r="M17" s="18" t="s">
        <v>42</v>
      </c>
    </row>
    <row r="18" spans="4:13" x14ac:dyDescent="0.3">
      <c r="D18" s="15">
        <f t="shared" si="0"/>
        <v>10</v>
      </c>
      <c r="E18" s="17" t="s">
        <v>48</v>
      </c>
      <c r="F18" s="17" t="s">
        <v>5</v>
      </c>
      <c r="G18" s="17" t="s">
        <v>30</v>
      </c>
      <c r="H18" s="17"/>
      <c r="I18" s="17" t="s">
        <v>27</v>
      </c>
      <c r="J18" s="17" t="s">
        <v>35</v>
      </c>
      <c r="K18" s="17" t="s">
        <v>21</v>
      </c>
      <c r="L18" s="17" t="s">
        <v>36</v>
      </c>
      <c r="M18" s="18"/>
    </row>
    <row r="19" spans="4:13" x14ac:dyDescent="0.3">
      <c r="D19" s="15">
        <f t="shared" si="0"/>
        <v>11</v>
      </c>
      <c r="E19" s="19" t="s">
        <v>49</v>
      </c>
      <c r="F19" s="19" t="s">
        <v>41</v>
      </c>
      <c r="G19" s="19"/>
      <c r="H19" s="19"/>
      <c r="I19" s="19" t="s">
        <v>27</v>
      </c>
      <c r="J19" s="19"/>
      <c r="K19" s="19"/>
      <c r="L19" s="19" t="s">
        <v>36</v>
      </c>
      <c r="M19" s="20"/>
    </row>
  </sheetData>
  <mergeCells count="1">
    <mergeCell ref="D3:M3"/>
  </mergeCells>
  <dataValidations count="2">
    <dataValidation type="list" allowBlank="1" showInputMessage="1" showErrorMessage="1" sqref="K5:K19" xr:uid="{9DA64245-987A-4B08-B03E-0B18C5C6A63B}">
      <formula1>"Yes,No"</formula1>
    </dataValidation>
    <dataValidation type="list" allowBlank="1" showInputMessage="1" showErrorMessage="1" sqref="I5:I19" xr:uid="{F7429022-BE06-4E44-853B-A4C028C8676A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56E2D-8DB1-4F99-A99E-690B8C96BC06}">
  <dimension ref="D3:M36"/>
  <sheetViews>
    <sheetView tabSelected="1" topLeftCell="B8" workbookViewId="0">
      <selection activeCell="F24" sqref="F24"/>
    </sheetView>
  </sheetViews>
  <sheetFormatPr defaultRowHeight="14.4" x14ac:dyDescent="0.3"/>
  <cols>
    <col min="4" max="4" width="7.88671875" bestFit="1" customWidth="1"/>
    <col min="5" max="5" width="27.21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30.44140625" customWidth="1"/>
    <col min="13" max="13" width="21.88671875" bestFit="1" customWidth="1"/>
  </cols>
  <sheetData>
    <row r="3" spans="4:13" x14ac:dyDescent="0.3">
      <c r="D3" s="14" t="s">
        <v>329</v>
      </c>
      <c r="E3" s="14"/>
      <c r="F3" s="14"/>
      <c r="G3" s="14"/>
      <c r="H3" s="14"/>
      <c r="I3" s="14"/>
      <c r="J3" s="14"/>
      <c r="K3" s="14"/>
      <c r="L3" s="14"/>
      <c r="M3" s="14"/>
    </row>
    <row r="4" spans="4:13" x14ac:dyDescent="0.3">
      <c r="D4" s="30" t="s">
        <v>1</v>
      </c>
      <c r="E4" s="30" t="s">
        <v>2</v>
      </c>
      <c r="F4" s="30" t="s">
        <v>3</v>
      </c>
      <c r="G4" s="30" t="s">
        <v>14</v>
      </c>
      <c r="H4" s="30" t="s">
        <v>8</v>
      </c>
      <c r="I4" s="30" t="s">
        <v>9</v>
      </c>
      <c r="J4" s="30" t="s">
        <v>10</v>
      </c>
      <c r="K4" s="30" t="s">
        <v>11</v>
      </c>
      <c r="L4" s="30" t="s">
        <v>12</v>
      </c>
      <c r="M4" s="30" t="s">
        <v>13</v>
      </c>
    </row>
    <row r="5" spans="4:13" x14ac:dyDescent="0.3">
      <c r="D5" s="30">
        <v>1</v>
      </c>
      <c r="E5" s="30" t="s">
        <v>330</v>
      </c>
      <c r="F5" s="30" t="s">
        <v>5</v>
      </c>
      <c r="G5" s="30" t="s">
        <v>15</v>
      </c>
      <c r="H5" s="30"/>
      <c r="I5" s="30" t="s">
        <v>20</v>
      </c>
      <c r="J5" s="30"/>
      <c r="K5" s="30" t="s">
        <v>18</v>
      </c>
      <c r="L5" s="30" t="s">
        <v>227</v>
      </c>
      <c r="M5" s="30"/>
    </row>
    <row r="6" spans="4:13" x14ac:dyDescent="0.3">
      <c r="D6" s="30">
        <f>D5+1</f>
        <v>2</v>
      </c>
      <c r="E6" s="30" t="s">
        <v>331</v>
      </c>
      <c r="F6" s="30" t="s">
        <v>38</v>
      </c>
      <c r="G6" s="30"/>
      <c r="H6" s="30"/>
      <c r="I6" s="30" t="s">
        <v>17</v>
      </c>
      <c r="J6" s="30" t="s">
        <v>214</v>
      </c>
      <c r="K6" s="30" t="s">
        <v>18</v>
      </c>
      <c r="L6" s="30" t="s">
        <v>342</v>
      </c>
      <c r="M6" s="30"/>
    </row>
    <row r="7" spans="4:13" x14ac:dyDescent="0.3">
      <c r="D7" s="30">
        <f t="shared" ref="D7:D10" si="0">D6+1</f>
        <v>3</v>
      </c>
      <c r="E7" s="30" t="s">
        <v>332</v>
      </c>
      <c r="F7" s="30" t="s">
        <v>5</v>
      </c>
      <c r="G7" s="30"/>
      <c r="H7" s="30"/>
      <c r="I7" s="30" t="s">
        <v>17</v>
      </c>
      <c r="J7" s="21" t="s">
        <v>92</v>
      </c>
      <c r="K7" s="30"/>
      <c r="L7" s="30" t="s">
        <v>346</v>
      </c>
      <c r="M7" s="30"/>
    </row>
    <row r="8" spans="4:13" x14ac:dyDescent="0.3">
      <c r="D8" s="30">
        <f t="shared" si="0"/>
        <v>4</v>
      </c>
      <c r="E8" s="30" t="s">
        <v>334</v>
      </c>
      <c r="F8" s="30" t="s">
        <v>45</v>
      </c>
      <c r="G8" s="30"/>
      <c r="H8" s="30"/>
      <c r="I8" s="30" t="s">
        <v>17</v>
      </c>
      <c r="J8" s="30"/>
      <c r="K8" s="30"/>
      <c r="L8" s="30"/>
      <c r="M8" s="30"/>
    </row>
    <row r="9" spans="4:13" x14ac:dyDescent="0.3">
      <c r="D9" s="30">
        <f t="shared" si="0"/>
        <v>5</v>
      </c>
      <c r="E9" s="30" t="s">
        <v>333</v>
      </c>
      <c r="F9" s="30" t="s">
        <v>7</v>
      </c>
      <c r="G9" s="30"/>
      <c r="H9" s="30">
        <v>20</v>
      </c>
      <c r="I9" s="30" t="s">
        <v>17</v>
      </c>
      <c r="J9" s="30"/>
      <c r="K9" s="30"/>
      <c r="L9" s="30" t="s">
        <v>340</v>
      </c>
      <c r="M9" s="30"/>
    </row>
    <row r="10" spans="4:13" x14ac:dyDescent="0.3">
      <c r="D10" s="30">
        <f t="shared" si="0"/>
        <v>6</v>
      </c>
      <c r="E10" s="30" t="s">
        <v>313</v>
      </c>
      <c r="F10" s="30" t="s">
        <v>5</v>
      </c>
      <c r="G10" s="30"/>
      <c r="H10" s="30"/>
      <c r="I10" s="30" t="s">
        <v>17</v>
      </c>
      <c r="J10" s="30" t="s">
        <v>343</v>
      </c>
      <c r="K10" s="30" t="s">
        <v>21</v>
      </c>
      <c r="L10" s="30" t="s">
        <v>339</v>
      </c>
      <c r="M10" s="30"/>
    </row>
    <row r="11" spans="4:13" x14ac:dyDescent="0.3">
      <c r="D11" s="30">
        <f>D10+1</f>
        <v>7</v>
      </c>
      <c r="E11" s="30" t="s">
        <v>335</v>
      </c>
      <c r="F11" s="30" t="s">
        <v>38</v>
      </c>
      <c r="G11" s="30"/>
      <c r="H11" s="30"/>
      <c r="I11" s="30" t="s">
        <v>27</v>
      </c>
      <c r="J11" s="21"/>
      <c r="K11" s="30"/>
      <c r="L11" s="30" t="s">
        <v>320</v>
      </c>
      <c r="M11" s="30"/>
    </row>
    <row r="12" spans="4:13" x14ac:dyDescent="0.3">
      <c r="D12" s="30">
        <f t="shared" ref="D12:D13" si="1">D11+1</f>
        <v>8</v>
      </c>
      <c r="E12" s="30" t="s">
        <v>336</v>
      </c>
      <c r="F12" s="30" t="s">
        <v>7</v>
      </c>
      <c r="G12" s="30"/>
      <c r="H12" s="30">
        <v>250</v>
      </c>
      <c r="I12" s="30" t="s">
        <v>17</v>
      </c>
      <c r="J12" s="21"/>
      <c r="K12" s="30"/>
      <c r="L12" s="30" t="s">
        <v>321</v>
      </c>
      <c r="M12" s="30"/>
    </row>
    <row r="13" spans="4:13" x14ac:dyDescent="0.3">
      <c r="D13" s="30">
        <f t="shared" si="1"/>
        <v>9</v>
      </c>
      <c r="E13" s="30" t="s">
        <v>338</v>
      </c>
      <c r="F13" s="30" t="s">
        <v>45</v>
      </c>
      <c r="G13" s="30"/>
      <c r="H13" s="30"/>
      <c r="I13" s="30" t="s">
        <v>27</v>
      </c>
      <c r="J13" s="30"/>
      <c r="K13" s="30"/>
      <c r="L13" s="30" t="s">
        <v>322</v>
      </c>
      <c r="M13" s="30" t="b">
        <v>0</v>
      </c>
    </row>
    <row r="14" spans="4:13" x14ac:dyDescent="0.3">
      <c r="D14" s="30">
        <f>D13+1</f>
        <v>10</v>
      </c>
      <c r="E14" s="30" t="s">
        <v>337</v>
      </c>
      <c r="F14" s="30" t="s">
        <v>45</v>
      </c>
      <c r="G14" s="30"/>
      <c r="H14" s="30"/>
      <c r="I14" s="30" t="s">
        <v>17</v>
      </c>
      <c r="J14" s="30"/>
      <c r="K14" s="30"/>
      <c r="L14" s="30"/>
      <c r="M14" s="30" t="b">
        <v>0</v>
      </c>
    </row>
    <row r="15" spans="4:13" x14ac:dyDescent="0.3">
      <c r="D15" s="30">
        <f t="shared" ref="D15:D19" si="2">D14+1</f>
        <v>11</v>
      </c>
      <c r="E15" s="30" t="s">
        <v>347</v>
      </c>
      <c r="F15" s="30" t="s">
        <v>5</v>
      </c>
      <c r="G15" s="30"/>
      <c r="H15" s="30"/>
      <c r="I15" s="30" t="s">
        <v>17</v>
      </c>
      <c r="J15" s="21" t="s">
        <v>92</v>
      </c>
      <c r="K15" s="30"/>
      <c r="L15" s="30" t="s">
        <v>348</v>
      </c>
      <c r="M15" s="30"/>
    </row>
    <row r="16" spans="4:13" x14ac:dyDescent="0.3">
      <c r="D16" s="30">
        <f t="shared" si="2"/>
        <v>12</v>
      </c>
      <c r="E16" s="30" t="s">
        <v>349</v>
      </c>
      <c r="F16" s="30" t="s">
        <v>5</v>
      </c>
      <c r="G16" s="30"/>
      <c r="H16" s="30"/>
      <c r="I16" s="30" t="s">
        <v>17</v>
      </c>
      <c r="J16" s="30"/>
      <c r="K16" s="30"/>
      <c r="L16" s="30"/>
      <c r="M16" s="30"/>
    </row>
    <row r="17" spans="4:13" x14ac:dyDescent="0.3">
      <c r="D17" s="30">
        <f t="shared" si="2"/>
        <v>13</v>
      </c>
      <c r="E17" s="30" t="s">
        <v>350</v>
      </c>
      <c r="F17" s="30" t="s">
        <v>351</v>
      </c>
      <c r="G17" s="30"/>
      <c r="H17" s="30"/>
      <c r="I17" s="30" t="s">
        <v>17</v>
      </c>
      <c r="J17" s="30"/>
      <c r="K17" s="30"/>
      <c r="L17" s="30"/>
      <c r="M17" s="30" t="b">
        <v>0</v>
      </c>
    </row>
    <row r="18" spans="4:13" x14ac:dyDescent="0.3">
      <c r="D18" s="30">
        <f t="shared" si="2"/>
        <v>14</v>
      </c>
      <c r="E18" s="30" t="s">
        <v>352</v>
      </c>
      <c r="F18" s="30" t="s">
        <v>5</v>
      </c>
      <c r="G18" s="30"/>
      <c r="H18" s="30"/>
      <c r="I18" s="30" t="s">
        <v>17</v>
      </c>
      <c r="J18" s="21" t="s">
        <v>92</v>
      </c>
      <c r="K18" s="30"/>
      <c r="L18" s="30"/>
      <c r="M18" s="30"/>
    </row>
    <row r="19" spans="4:13" x14ac:dyDescent="0.3">
      <c r="D19" s="30">
        <f t="shared" si="2"/>
        <v>15</v>
      </c>
      <c r="E19" s="30" t="s">
        <v>358</v>
      </c>
      <c r="F19" s="30" t="s">
        <v>5</v>
      </c>
      <c r="G19" s="30"/>
      <c r="H19" s="30"/>
      <c r="I19" s="30" t="s">
        <v>17</v>
      </c>
      <c r="J19" s="21" t="s">
        <v>92</v>
      </c>
      <c r="K19" s="30"/>
      <c r="L19" s="30"/>
      <c r="M19" s="30"/>
    </row>
    <row r="20" spans="4:13" ht="43.2" x14ac:dyDescent="0.3">
      <c r="D20" s="30">
        <f t="shared" ref="D20:D23" si="3">D19+1</f>
        <v>16</v>
      </c>
      <c r="E20" s="30" t="s">
        <v>242</v>
      </c>
      <c r="F20" s="30"/>
      <c r="G20" s="30"/>
      <c r="H20" s="30"/>
      <c r="I20" s="30" t="s">
        <v>27</v>
      </c>
      <c r="J20" s="30"/>
      <c r="K20" s="30"/>
      <c r="L20" s="31" t="s">
        <v>359</v>
      </c>
      <c r="M20" s="30"/>
    </row>
    <row r="21" spans="4:13" ht="43.2" x14ac:dyDescent="0.3">
      <c r="D21" s="30">
        <f t="shared" si="3"/>
        <v>17</v>
      </c>
      <c r="E21" s="21" t="s">
        <v>223</v>
      </c>
      <c r="F21" s="30"/>
      <c r="G21" s="30"/>
      <c r="H21" s="30"/>
      <c r="I21" s="30" t="s">
        <v>27</v>
      </c>
      <c r="J21" s="30"/>
      <c r="K21" s="30"/>
      <c r="L21" s="31" t="s">
        <v>360</v>
      </c>
      <c r="M21" s="30"/>
    </row>
    <row r="22" spans="4:13" x14ac:dyDescent="0.3">
      <c r="D22" s="30">
        <f t="shared" si="3"/>
        <v>18</v>
      </c>
      <c r="E22" s="30"/>
      <c r="F22" s="30"/>
      <c r="G22" s="30"/>
      <c r="H22" s="30"/>
      <c r="I22" s="30"/>
      <c r="J22" s="30"/>
      <c r="K22" s="30"/>
      <c r="L22" s="30"/>
      <c r="M22" s="30"/>
    </row>
    <row r="23" spans="4:13" x14ac:dyDescent="0.3">
      <c r="D23" s="30">
        <f t="shared" si="3"/>
        <v>19</v>
      </c>
      <c r="E23" s="30"/>
      <c r="F23" s="30"/>
      <c r="G23" s="30"/>
      <c r="H23" s="30"/>
      <c r="I23" s="30"/>
      <c r="J23" s="30"/>
      <c r="K23" s="30"/>
      <c r="L23" s="30"/>
      <c r="M23" s="30"/>
    </row>
    <row r="24" spans="4:13" x14ac:dyDescent="0.3">
      <c r="D24" s="30">
        <f>D14+1</f>
        <v>11</v>
      </c>
      <c r="E24" s="30" t="s">
        <v>44</v>
      </c>
      <c r="F24" s="30" t="s">
        <v>45</v>
      </c>
      <c r="G24" s="30"/>
      <c r="H24" s="30"/>
      <c r="I24" s="30" t="s">
        <v>17</v>
      </c>
      <c r="J24" s="30"/>
      <c r="K24" s="30"/>
      <c r="L24" s="30" t="s">
        <v>44</v>
      </c>
      <c r="M24" s="30"/>
    </row>
    <row r="25" spans="4:13" x14ac:dyDescent="0.3">
      <c r="D25" s="30">
        <f t="shared" ref="D25:D28" si="4">D24+1</f>
        <v>12</v>
      </c>
      <c r="E25" s="32" t="s">
        <v>33</v>
      </c>
      <c r="F25" s="32" t="s">
        <v>5</v>
      </c>
      <c r="G25" s="32" t="s">
        <v>30</v>
      </c>
      <c r="H25" s="32"/>
      <c r="I25" s="32" t="s">
        <v>17</v>
      </c>
      <c r="J25" s="32" t="s">
        <v>35</v>
      </c>
      <c r="K25" s="32" t="s">
        <v>21</v>
      </c>
      <c r="L25" s="32" t="s">
        <v>36</v>
      </c>
      <c r="M25" s="33" t="s">
        <v>32</v>
      </c>
    </row>
    <row r="26" spans="4:13" x14ac:dyDescent="0.3">
      <c r="D26" s="30">
        <f t="shared" si="4"/>
        <v>13</v>
      </c>
      <c r="E26" s="32" t="s">
        <v>37</v>
      </c>
      <c r="F26" s="32" t="s">
        <v>38</v>
      </c>
      <c r="G26" s="32"/>
      <c r="H26" s="32"/>
      <c r="I26" s="32" t="s">
        <v>17</v>
      </c>
      <c r="J26" s="32"/>
      <c r="K26" s="32" t="s">
        <v>21</v>
      </c>
      <c r="L26" s="32" t="s">
        <v>36</v>
      </c>
      <c r="M26" s="33" t="s">
        <v>42</v>
      </c>
    </row>
    <row r="27" spans="4:13" x14ac:dyDescent="0.3">
      <c r="D27" s="30">
        <f t="shared" si="4"/>
        <v>14</v>
      </c>
      <c r="E27" s="32" t="s">
        <v>48</v>
      </c>
      <c r="F27" s="32" t="s">
        <v>5</v>
      </c>
      <c r="G27" s="32" t="s">
        <v>30</v>
      </c>
      <c r="H27" s="32"/>
      <c r="I27" s="32" t="s">
        <v>27</v>
      </c>
      <c r="J27" s="32" t="s">
        <v>35</v>
      </c>
      <c r="K27" s="32" t="s">
        <v>21</v>
      </c>
      <c r="L27" s="32" t="s">
        <v>36</v>
      </c>
      <c r="M27" s="33"/>
    </row>
    <row r="28" spans="4:13" x14ac:dyDescent="0.3">
      <c r="D28" s="30">
        <f t="shared" si="4"/>
        <v>15</v>
      </c>
      <c r="E28" s="34" t="s">
        <v>49</v>
      </c>
      <c r="F28" s="34" t="s">
        <v>41</v>
      </c>
      <c r="G28" s="34"/>
      <c r="H28" s="34"/>
      <c r="I28" s="34" t="s">
        <v>27</v>
      </c>
      <c r="J28" s="34"/>
      <c r="K28" s="34"/>
      <c r="L28" s="34" t="s">
        <v>36</v>
      </c>
      <c r="M28" s="35"/>
    </row>
    <row r="30" spans="4:13" x14ac:dyDescent="0.3">
      <c r="E30" t="s">
        <v>352</v>
      </c>
    </row>
    <row r="31" spans="4:13" x14ac:dyDescent="0.3">
      <c r="E31" t="s">
        <v>294</v>
      </c>
    </row>
    <row r="32" spans="4:13" x14ac:dyDescent="0.3">
      <c r="E32" t="s">
        <v>353</v>
      </c>
      <c r="F32">
        <v>1</v>
      </c>
    </row>
    <row r="33" spans="5:6" x14ac:dyDescent="0.3">
      <c r="E33" t="s">
        <v>354</v>
      </c>
      <c r="F33">
        <v>2</v>
      </c>
    </row>
    <row r="34" spans="5:6" x14ac:dyDescent="0.3">
      <c r="E34" t="s">
        <v>357</v>
      </c>
      <c r="F34">
        <v>3</v>
      </c>
    </row>
    <row r="35" spans="5:6" x14ac:dyDescent="0.3">
      <c r="E35" t="s">
        <v>355</v>
      </c>
      <c r="F35">
        <v>4</v>
      </c>
    </row>
    <row r="36" spans="5:6" x14ac:dyDescent="0.3">
      <c r="E36" t="s">
        <v>356</v>
      </c>
      <c r="F36">
        <v>5</v>
      </c>
    </row>
  </sheetData>
  <mergeCells count="1">
    <mergeCell ref="D3:M3"/>
  </mergeCells>
  <dataValidations count="2">
    <dataValidation type="list" allowBlank="1" showInputMessage="1" showErrorMessage="1" sqref="I5:I28" xr:uid="{5E0C5740-06A8-48F6-8822-6EA408FD2703}">
      <formula1>"AUTO_INCREMENT,*,Nullable"</formula1>
    </dataValidation>
    <dataValidation type="list" allowBlank="1" showInputMessage="1" showErrorMessage="1" sqref="K5:K28" xr:uid="{8DE14178-D16B-4311-843B-3FAB44FBC6C3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4E61-4EF4-41E7-91B5-EC29A8C09E26}">
  <dimension ref="D3:M19"/>
  <sheetViews>
    <sheetView workbookViewId="0">
      <selection activeCell="E6" sqref="E6"/>
    </sheetView>
  </sheetViews>
  <sheetFormatPr defaultRowHeight="14.4" x14ac:dyDescent="0.3"/>
  <cols>
    <col min="4" max="4" width="7.88671875" bestFit="1" customWidth="1"/>
    <col min="5" max="5" width="27.21875" bestFit="1" customWidth="1"/>
    <col min="6" max="6" width="13.88671875" bestFit="1" customWidth="1"/>
    <col min="7" max="7" width="10.109375" bestFit="1" customWidth="1"/>
    <col min="8" max="8" width="6.88671875" bestFit="1" customWidth="1"/>
    <col min="9" max="9" width="17" bestFit="1" customWidth="1"/>
    <col min="10" max="10" width="35.21875" bestFit="1" customWidth="1"/>
    <col min="11" max="11" width="7.88671875" bestFit="1" customWidth="1"/>
    <col min="12" max="12" width="20.21875" bestFit="1" customWidth="1"/>
    <col min="13" max="13" width="21.88671875" bestFit="1" customWidth="1"/>
  </cols>
  <sheetData>
    <row r="3" spans="4:13" x14ac:dyDescent="0.3">
      <c r="D3" s="14" t="s">
        <v>344</v>
      </c>
      <c r="E3" s="14"/>
      <c r="F3" s="14"/>
      <c r="G3" s="14"/>
      <c r="H3" s="14"/>
      <c r="I3" s="14"/>
      <c r="J3" s="14"/>
      <c r="K3" s="14"/>
      <c r="L3" s="14"/>
      <c r="M3" s="14"/>
    </row>
    <row r="4" spans="4:13" x14ac:dyDescent="0.3">
      <c r="D4" s="15" t="s">
        <v>1</v>
      </c>
      <c r="E4" s="15" t="s">
        <v>2</v>
      </c>
      <c r="F4" s="15" t="s">
        <v>3</v>
      </c>
      <c r="G4" s="15" t="s">
        <v>14</v>
      </c>
      <c r="H4" s="15" t="s">
        <v>8</v>
      </c>
      <c r="I4" s="15" t="s">
        <v>9</v>
      </c>
      <c r="J4" s="15" t="s">
        <v>10</v>
      </c>
      <c r="K4" s="15" t="s">
        <v>11</v>
      </c>
      <c r="L4" s="15" t="s">
        <v>12</v>
      </c>
      <c r="M4" s="15" t="s">
        <v>13</v>
      </c>
    </row>
    <row r="5" spans="4:13" x14ac:dyDescent="0.3">
      <c r="D5" s="15">
        <v>1</v>
      </c>
      <c r="E5" s="15" t="s">
        <v>345</v>
      </c>
      <c r="F5" s="15" t="s">
        <v>5</v>
      </c>
      <c r="G5" s="15" t="s">
        <v>15</v>
      </c>
      <c r="H5" s="15"/>
      <c r="I5" s="15" t="s">
        <v>20</v>
      </c>
      <c r="J5" s="15"/>
      <c r="K5" s="15" t="s">
        <v>18</v>
      </c>
      <c r="L5" s="15" t="s">
        <v>227</v>
      </c>
      <c r="M5" s="15"/>
    </row>
    <row r="6" spans="4:13" x14ac:dyDescent="0.3">
      <c r="D6" s="15">
        <f>D5+1</f>
        <v>2</v>
      </c>
      <c r="E6" s="15" t="s">
        <v>331</v>
      </c>
      <c r="F6" s="15" t="s">
        <v>38</v>
      </c>
      <c r="G6" s="15"/>
      <c r="H6" s="15"/>
      <c r="I6" s="15" t="s">
        <v>27</v>
      </c>
      <c r="J6" s="15" t="s">
        <v>214</v>
      </c>
      <c r="K6" s="15" t="s">
        <v>18</v>
      </c>
      <c r="L6" s="15" t="s">
        <v>342</v>
      </c>
      <c r="M6" s="15"/>
    </row>
    <row r="7" spans="4:13" x14ac:dyDescent="0.3">
      <c r="D7" s="15">
        <f t="shared" ref="D7:D19" si="0">D6+1</f>
        <v>3</v>
      </c>
      <c r="E7" s="15" t="s">
        <v>332</v>
      </c>
      <c r="F7" s="15" t="s">
        <v>5</v>
      </c>
      <c r="G7" s="15"/>
      <c r="H7" s="15"/>
      <c r="I7" s="15" t="s">
        <v>27</v>
      </c>
      <c r="J7" t="s">
        <v>92</v>
      </c>
      <c r="K7" s="15"/>
      <c r="L7" s="15" t="s">
        <v>341</v>
      </c>
      <c r="M7" s="15"/>
    </row>
    <row r="8" spans="4:13" x14ac:dyDescent="0.3">
      <c r="D8" s="15">
        <f t="shared" si="0"/>
        <v>4</v>
      </c>
      <c r="E8" s="15" t="s">
        <v>334</v>
      </c>
      <c r="F8" s="15" t="s">
        <v>45</v>
      </c>
      <c r="G8" s="15"/>
      <c r="H8" s="15"/>
      <c r="I8" s="15" t="s">
        <v>17</v>
      </c>
      <c r="J8" s="15"/>
      <c r="K8" s="15"/>
      <c r="L8" s="15"/>
      <c r="M8" s="15"/>
    </row>
    <row r="9" spans="4:13" x14ac:dyDescent="0.3">
      <c r="D9" s="15">
        <f t="shared" si="0"/>
        <v>5</v>
      </c>
      <c r="E9" s="15" t="s">
        <v>333</v>
      </c>
      <c r="F9" s="15" t="s">
        <v>7</v>
      </c>
      <c r="G9" s="15"/>
      <c r="H9" s="15">
        <v>20</v>
      </c>
      <c r="I9" s="15" t="s">
        <v>17</v>
      </c>
      <c r="J9" s="15"/>
      <c r="K9" s="15"/>
      <c r="L9" s="15" t="s">
        <v>340</v>
      </c>
      <c r="M9" s="15"/>
    </row>
    <row r="10" spans="4:13" x14ac:dyDescent="0.3">
      <c r="D10" s="15">
        <f t="shared" si="0"/>
        <v>6</v>
      </c>
      <c r="E10" s="15" t="s">
        <v>313</v>
      </c>
      <c r="F10" s="15" t="s">
        <v>5</v>
      </c>
      <c r="G10" s="15"/>
      <c r="H10" s="15"/>
      <c r="I10" s="15" t="s">
        <v>17</v>
      </c>
      <c r="J10" s="15" t="s">
        <v>343</v>
      </c>
      <c r="K10" s="15" t="s">
        <v>21</v>
      </c>
      <c r="L10" s="15" t="s">
        <v>339</v>
      </c>
      <c r="M10" s="15"/>
    </row>
    <row r="11" spans="4:13" x14ac:dyDescent="0.3">
      <c r="D11" s="15">
        <f>D10+1</f>
        <v>7</v>
      </c>
      <c r="E11" s="15" t="s">
        <v>335</v>
      </c>
      <c r="F11" s="15" t="s">
        <v>38</v>
      </c>
      <c r="G11" s="15"/>
      <c r="H11" s="15"/>
      <c r="I11" s="15" t="s">
        <v>17</v>
      </c>
      <c r="K11" s="15"/>
      <c r="L11" s="15" t="s">
        <v>320</v>
      </c>
      <c r="M11" s="15"/>
    </row>
    <row r="12" spans="4:13" x14ac:dyDescent="0.3">
      <c r="D12" s="15">
        <f t="shared" ref="D12:D13" si="1">D11+1</f>
        <v>8</v>
      </c>
      <c r="E12" s="15" t="s">
        <v>336</v>
      </c>
      <c r="F12" s="15" t="s">
        <v>7</v>
      </c>
      <c r="G12" s="15"/>
      <c r="H12" s="15">
        <v>250</v>
      </c>
      <c r="I12" s="15" t="s">
        <v>17</v>
      </c>
      <c r="K12" s="15"/>
      <c r="L12" s="15" t="s">
        <v>321</v>
      </c>
      <c r="M12" s="15"/>
    </row>
    <row r="13" spans="4:13" x14ac:dyDescent="0.3">
      <c r="D13" s="15">
        <f t="shared" si="1"/>
        <v>9</v>
      </c>
      <c r="E13" s="15" t="s">
        <v>338</v>
      </c>
      <c r="F13" s="15" t="s">
        <v>45</v>
      </c>
      <c r="G13" s="15"/>
      <c r="H13" s="15"/>
      <c r="I13" s="15" t="s">
        <v>27</v>
      </c>
      <c r="J13" s="15"/>
      <c r="K13" s="15"/>
      <c r="L13" s="15" t="s">
        <v>322</v>
      </c>
      <c r="M13" s="15" t="b">
        <v>0</v>
      </c>
    </row>
    <row r="14" spans="4:13" x14ac:dyDescent="0.3">
      <c r="D14" s="15">
        <f>D13+1</f>
        <v>10</v>
      </c>
      <c r="E14" s="15" t="s">
        <v>337</v>
      </c>
      <c r="F14" s="15" t="s">
        <v>45</v>
      </c>
      <c r="G14" s="15"/>
      <c r="H14" s="15"/>
      <c r="I14" s="15" t="s">
        <v>17</v>
      </c>
      <c r="J14" s="15"/>
      <c r="K14" s="15"/>
      <c r="L14" s="15"/>
      <c r="M14" s="15" t="b">
        <v>0</v>
      </c>
    </row>
    <row r="15" spans="4:13" x14ac:dyDescent="0.3">
      <c r="D15" s="15">
        <f t="shared" ref="D15:D19" si="2">D14+1</f>
        <v>11</v>
      </c>
      <c r="E15" s="15" t="s">
        <v>44</v>
      </c>
      <c r="F15" s="15" t="s">
        <v>45</v>
      </c>
      <c r="G15" s="15"/>
      <c r="H15" s="15"/>
      <c r="I15" s="15" t="s">
        <v>17</v>
      </c>
      <c r="J15" s="15"/>
      <c r="K15" s="15"/>
      <c r="L15" s="15" t="s">
        <v>44</v>
      </c>
      <c r="M15" s="15"/>
    </row>
    <row r="16" spans="4:13" x14ac:dyDescent="0.3">
      <c r="D16" s="15">
        <f t="shared" si="2"/>
        <v>12</v>
      </c>
      <c r="E16" s="17" t="s">
        <v>33</v>
      </c>
      <c r="F16" s="17" t="s">
        <v>5</v>
      </c>
      <c r="G16" s="17" t="s">
        <v>30</v>
      </c>
      <c r="H16" s="17"/>
      <c r="I16" s="17" t="s">
        <v>17</v>
      </c>
      <c r="J16" s="17" t="s">
        <v>35</v>
      </c>
      <c r="K16" s="17" t="s">
        <v>21</v>
      </c>
      <c r="L16" s="17" t="s">
        <v>36</v>
      </c>
      <c r="M16" s="18" t="s">
        <v>32</v>
      </c>
    </row>
    <row r="17" spans="4:13" x14ac:dyDescent="0.3">
      <c r="D17" s="15">
        <f t="shared" si="2"/>
        <v>13</v>
      </c>
      <c r="E17" s="17" t="s">
        <v>37</v>
      </c>
      <c r="F17" s="17" t="s">
        <v>38</v>
      </c>
      <c r="G17" s="17"/>
      <c r="H17" s="17"/>
      <c r="I17" s="17" t="s">
        <v>17</v>
      </c>
      <c r="J17" s="17"/>
      <c r="K17" s="17" t="s">
        <v>21</v>
      </c>
      <c r="L17" s="17" t="s">
        <v>36</v>
      </c>
      <c r="M17" s="18" t="s">
        <v>42</v>
      </c>
    </row>
    <row r="18" spans="4:13" x14ac:dyDescent="0.3">
      <c r="D18" s="15">
        <f t="shared" si="2"/>
        <v>14</v>
      </c>
      <c r="E18" s="17" t="s">
        <v>48</v>
      </c>
      <c r="F18" s="17" t="s">
        <v>5</v>
      </c>
      <c r="G18" s="17" t="s">
        <v>30</v>
      </c>
      <c r="H18" s="17"/>
      <c r="I18" s="17" t="s">
        <v>27</v>
      </c>
      <c r="J18" s="17" t="s">
        <v>35</v>
      </c>
      <c r="K18" s="17" t="s">
        <v>21</v>
      </c>
      <c r="L18" s="17" t="s">
        <v>36</v>
      </c>
      <c r="M18" s="18"/>
    </row>
    <row r="19" spans="4:13" x14ac:dyDescent="0.3">
      <c r="D19" s="15">
        <f t="shared" si="2"/>
        <v>15</v>
      </c>
      <c r="E19" s="19" t="s">
        <v>49</v>
      </c>
      <c r="F19" s="19" t="s">
        <v>41</v>
      </c>
      <c r="G19" s="19"/>
      <c r="H19" s="19"/>
      <c r="I19" s="19" t="s">
        <v>27</v>
      </c>
      <c r="J19" s="19"/>
      <c r="K19" s="19"/>
      <c r="L19" s="19" t="s">
        <v>36</v>
      </c>
      <c r="M19" s="20"/>
    </row>
  </sheetData>
  <mergeCells count="1">
    <mergeCell ref="D3:M3"/>
  </mergeCells>
  <dataValidations count="2">
    <dataValidation type="list" allowBlank="1" showInputMessage="1" showErrorMessage="1" sqref="K5:K19" xr:uid="{5396FAEA-5982-4ED8-8932-608C184B1DEA}">
      <formula1>"Yes,No"</formula1>
    </dataValidation>
    <dataValidation type="list" allowBlank="1" showInputMessage="1" showErrorMessage="1" sqref="I5:I19" xr:uid="{42C619FD-8B35-4D5C-8386-758AE8787064}">
      <formula1>"AUTO_INCREMENT,*,Nullable"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3831BDEF3B9E4AB0AA7239E4034D37" ma:contentTypeVersion="11" ma:contentTypeDescription="Create a new document." ma:contentTypeScope="" ma:versionID="ac829c8ee1ab323719674b22bc2a55b2">
  <xsd:schema xmlns:xsd="http://www.w3.org/2001/XMLSchema" xmlns:xs="http://www.w3.org/2001/XMLSchema" xmlns:p="http://schemas.microsoft.com/office/2006/metadata/properties" xmlns:ns3="56641843-60ff-4343-a7f7-9d6e83521bf9" targetNamespace="http://schemas.microsoft.com/office/2006/metadata/properties" ma:root="true" ma:fieldsID="514cd94ed1430844d876888086fd0b1b" ns3:_="">
    <xsd:import namespace="56641843-60ff-4343-a7f7-9d6e83521bf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641843-60ff-4343-a7f7-9d6e83521bf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6641843-60ff-4343-a7f7-9d6e83521bf9" xsi:nil="true"/>
  </documentManagement>
</p:properties>
</file>

<file path=customXml/itemProps1.xml><?xml version="1.0" encoding="utf-8"?>
<ds:datastoreItem xmlns:ds="http://schemas.openxmlformats.org/officeDocument/2006/customXml" ds:itemID="{19C9B253-65EE-4D6C-8E83-51CD1F62528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7C2F03-026E-4220-8522-2C5CE7B935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641843-60ff-4343-a7f7-9d6e83521b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0454C5-1209-44DC-8FF8-89051DCF423C}">
  <ds:schemaRefs>
    <ds:schemaRef ds:uri="http://schemas.microsoft.com/office/2006/metadata/properties"/>
    <ds:schemaRef ds:uri="http://purl.org/dc/terms/"/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56641843-60ff-4343-a7f7-9d6e83521b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TblUser</vt:lpstr>
      <vt:lpstr>TblDictionary</vt:lpstr>
      <vt:lpstr>TblDictionaryValues</vt:lpstr>
      <vt:lpstr>TblUnit</vt:lpstr>
      <vt:lpstr>TblUnitConversion</vt:lpstr>
      <vt:lpstr>TblTest</vt:lpstr>
      <vt:lpstr>TblTestDetails</vt:lpstr>
      <vt:lpstr>TblStandard</vt:lpstr>
      <vt:lpstr>TblStandardDetails</vt:lpstr>
      <vt:lpstr>TblCalibration</vt:lpstr>
      <vt:lpstr>TblCalibrationDetail</vt:lpstr>
      <vt:lpstr>TblQCLotDetails</vt:lpstr>
      <vt:lpstr>TblQCLotTests</vt:lpstr>
      <vt:lpstr>TblQCRules</vt:lpstr>
      <vt:lpstr>TblReagentBottle</vt:lpstr>
      <vt:lpstr>TblReagentPosition</vt:lpstr>
      <vt:lpstr>TblPatient</vt:lpstr>
      <vt:lpstr>TblSample</vt:lpstr>
      <vt:lpstr>TblSchedule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Mihir</dc:creator>
  <cp:lastModifiedBy>Mihir</cp:lastModifiedBy>
  <dcterms:created xsi:type="dcterms:W3CDTF">2026-03-24T04:10:26Z</dcterms:created>
  <dcterms:modified xsi:type="dcterms:W3CDTF">2026-03-26T06:20:47Z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0x0101008B3831BDEF3B9E4AB0AA7239E4034D37</vt:lpwstr>
  </property>
</Properties>
</file>