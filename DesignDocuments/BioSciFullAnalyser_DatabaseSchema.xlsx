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ioSciFullyAnalyser\DesignDocuments\"/>
    </mc:Choice>
  </mc:AlternateContent>
  <xr:revisionPtr revIDLastSave="0" documentId="8_{5E4AD972-FE2E-44A7-B8FE-AA6C51E34133}" xr6:coauthVersionLast="47" xr6:coauthVersionMax="47" xr10:uidLastSave="{00000000-0000-0000-0000-000000000000}"/>
  <bookViews>
    <workbookView xWindow="-108" yWindow="-108" windowWidth="23256" windowHeight="13176" firstSheet="1" activeTab="5" xr2:uid="{85180E46-3C0A-4E7A-852B-7746CB5E32EB}"/>
  </bookViews>
  <sheets>
    <sheet name="TblUser" sheetId="1" r:id="rId1"/>
    <sheet name="TblDictionary" sheetId="2" r:id="rId2"/>
    <sheet name="TblDictionaryValues" sheetId="3" r:id="rId3"/>
    <sheet name="TblUnit" sheetId="5" r:id="rId4"/>
    <sheet name="TblUnitConversion" sheetId="4" r:id="rId5"/>
    <sheet name="TblTestMaster" sheetId="6" r:id="rId6"/>
    <sheet name="TblTestDetail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8" i="7" l="1"/>
  <c r="D27" i="7"/>
  <c r="D26" i="7"/>
  <c r="D25" i="7"/>
  <c r="D24" i="7"/>
  <c r="D23" i="7"/>
  <c r="D22" i="7"/>
  <c r="D21" i="7"/>
  <c r="D11" i="7"/>
  <c r="D12" i="7" s="1"/>
  <c r="D13" i="7" s="1"/>
  <c r="D14" i="7" s="1"/>
  <c r="D15" i="7" s="1"/>
  <c r="D16" i="7" s="1"/>
  <c r="D17" i="7" s="1"/>
  <c r="D18" i="7" s="1"/>
  <c r="D19" i="7" s="1"/>
  <c r="D20" i="7" s="1"/>
  <c r="D6" i="7"/>
  <c r="D7" i="7" s="1"/>
  <c r="D8" i="7" s="1"/>
  <c r="D9" i="7" s="1"/>
  <c r="D17" i="6"/>
  <c r="D18" i="6"/>
  <c r="D19" i="6"/>
  <c r="D20" i="6"/>
  <c r="D13" i="6"/>
  <c r="D14" i="6"/>
  <c r="D15" i="6"/>
  <c r="D16" i="6"/>
  <c r="D6" i="6"/>
  <c r="D7" i="6" s="1"/>
  <c r="D8" i="6" s="1"/>
  <c r="D9" i="6" s="1"/>
  <c r="D10" i="6" s="1"/>
  <c r="D11" i="6" s="1"/>
  <c r="D12" i="6" s="1"/>
  <c r="D10" i="4"/>
  <c r="D11" i="4" s="1"/>
  <c r="D12" i="4" s="1"/>
  <c r="D13" i="4" s="1"/>
  <c r="D14" i="4" s="1"/>
  <c r="D6" i="4"/>
  <c r="D7" i="4" s="1"/>
  <c r="D8" i="4" s="1"/>
  <c r="D9" i="4" s="1"/>
  <c r="D8" i="5"/>
  <c r="D9" i="5"/>
  <c r="D10" i="5"/>
  <c r="D11" i="5"/>
  <c r="D12" i="5"/>
  <c r="D7" i="5"/>
  <c r="D6" i="5"/>
  <c r="D6" i="3"/>
  <c r="D7" i="3" s="1"/>
  <c r="D8" i="3" s="1"/>
  <c r="D10" i="3" s="1"/>
  <c r="D11" i="3" s="1"/>
  <c r="D12" i="3" s="1"/>
  <c r="D13" i="3" s="1"/>
  <c r="D14" i="3" s="1"/>
  <c r="D6" i="2"/>
  <c r="D7" i="2"/>
  <c r="D8" i="2"/>
  <c r="D9" i="2" s="1"/>
  <c r="D10" i="2" s="1"/>
  <c r="D11" i="2" s="1"/>
  <c r="D12" i="2" s="1"/>
  <c r="D13" i="2" s="1"/>
  <c r="C13" i="1"/>
  <c r="C12" i="1"/>
  <c r="C11" i="1"/>
  <c r="C10" i="1"/>
  <c r="C9" i="1"/>
  <c r="C8" i="1"/>
  <c r="C7" i="1"/>
  <c r="C6" i="1"/>
  <c r="D10" i="7" l="1"/>
  <c r="D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tc={0A69C8AC-F771-4895-A892-43156EC7A5F5}</author>
  </authors>
  <commentList>
    <comment ref="D12" authorId="0" shapeId="0" xr:uid="{0A69C8AC-F771-4895-A892-43156EC7A5F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Need to discuss whether to implement a modified by in the same table or create a new userChangeLog table for audit history purposes. 
</t>
      </text>
    </comment>
  </commentList>
</comments>
</file>

<file path=xl/sharedStrings.xml><?xml version="1.0" encoding="utf-8"?>
<sst xmlns="http://schemas.openxmlformats.org/spreadsheetml/2006/main" count="588" uniqueCount="196">
  <si>
    <t>TblUser</t>
  </si>
  <si>
    <t>SrNo.</t>
  </si>
  <si>
    <t>ColumnName</t>
  </si>
  <si>
    <t>ColumnType</t>
  </si>
  <si>
    <t>UserID</t>
  </si>
  <si>
    <t>int</t>
  </si>
  <si>
    <t>UserName</t>
  </si>
  <si>
    <t>varchar</t>
  </si>
  <si>
    <t>Max</t>
  </si>
  <si>
    <t>NotNull</t>
  </si>
  <si>
    <t>FK</t>
  </si>
  <si>
    <t>Index</t>
  </si>
  <si>
    <t>Description/Remark</t>
  </si>
  <si>
    <t>DefaultValues</t>
  </si>
  <si>
    <t>Key</t>
  </si>
  <si>
    <t>PrimaryKey</t>
  </si>
  <si>
    <t>-</t>
  </si>
  <si>
    <t>*</t>
  </si>
  <si>
    <t>Yes</t>
  </si>
  <si>
    <t xml:space="preserve">User ID </t>
  </si>
  <si>
    <t>AUTO_INCREMENT</t>
  </si>
  <si>
    <t>No</t>
  </si>
  <si>
    <t>User Name</t>
  </si>
  <si>
    <t>blank</t>
  </si>
  <si>
    <t>UserPasswordHash</t>
  </si>
  <si>
    <t>Password Hash usign Bcrypt</t>
  </si>
  <si>
    <t>Password Hint</t>
  </si>
  <si>
    <t>Nullable</t>
  </si>
  <si>
    <t>Password Hint - Display</t>
  </si>
  <si>
    <t>UserType</t>
  </si>
  <si>
    <t>ForeignKey</t>
  </si>
  <si>
    <t>User Type, For Access Control</t>
  </si>
  <si>
    <t>1(Admin)</t>
  </si>
  <si>
    <t>CreatedBy</t>
  </si>
  <si>
    <t>tblDirectoryDet(ItemValue)</t>
  </si>
  <si>
    <t>tblUser(UserID)</t>
  </si>
  <si>
    <t>Auditing</t>
  </si>
  <si>
    <t>CreatedAt</t>
  </si>
  <si>
    <t>DateTime</t>
  </si>
  <si>
    <t>ModifiedBy</t>
  </si>
  <si>
    <t>ModifiedAt</t>
  </si>
  <si>
    <t>DateTIme</t>
  </si>
  <si>
    <t>Insert Current Date Time.</t>
  </si>
  <si>
    <t>IsEditable</t>
  </si>
  <si>
    <t>IsActive</t>
  </si>
  <si>
    <t>bool</t>
  </si>
  <si>
    <t>DictionaryID</t>
  </si>
  <si>
    <t>Depends</t>
  </si>
  <si>
    <t>LastModifiedBy</t>
  </si>
  <si>
    <t>LastModifiedAt</t>
  </si>
  <si>
    <t>TblDictionaryTypes(This table will be part of default tables)</t>
  </si>
  <si>
    <t>DictionaryTypesID</t>
  </si>
  <si>
    <t>DictionaryTypesName</t>
  </si>
  <si>
    <t>DictionaryTypes Name</t>
  </si>
  <si>
    <t>DictionaryTypesDescription</t>
  </si>
  <si>
    <t>Description for DictionaryTypes</t>
  </si>
  <si>
    <t>Can user add to the items in this DictionaryTypes</t>
  </si>
  <si>
    <t>Is this DictionaryTypes Actively visible on screen</t>
  </si>
  <si>
    <t>TblDictionaryValues(This table will be part of default tables)</t>
  </si>
  <si>
    <t>DictionaryValuesID</t>
  </si>
  <si>
    <t>DictionaryValuesName</t>
  </si>
  <si>
    <t>DictionaryValues Name</t>
  </si>
  <si>
    <t>DictionaryValuesDescription</t>
  </si>
  <si>
    <t>Description for DictionaryValues</t>
  </si>
  <si>
    <t>DictionaryItemValue</t>
  </si>
  <si>
    <t>Value for Dictionary Item.</t>
  </si>
  <si>
    <t xml:space="preserve">Is active or deleted. </t>
  </si>
  <si>
    <t>TblUnit(This table will be part of default tables)</t>
  </si>
  <si>
    <t>UnitID</t>
  </si>
  <si>
    <t>UnitName</t>
  </si>
  <si>
    <t>Unit Name</t>
  </si>
  <si>
    <t>UnitDescription</t>
  </si>
  <si>
    <t>Description for Unit</t>
  </si>
  <si>
    <t>TblUnitConversion(This table will be part of default tables)</t>
  </si>
  <si>
    <t>UnitConversionID</t>
  </si>
  <si>
    <t>OldUnitID</t>
  </si>
  <si>
    <t>NewUnitID</t>
  </si>
  <si>
    <t>tblUnitMaster(UnitID)</t>
  </si>
  <si>
    <t>ConversionExpression</t>
  </si>
  <si>
    <t>EvalExpression</t>
  </si>
  <si>
    <t>EvaluationExpression</t>
  </si>
  <si>
    <t>Conversion Expression as shown in UI</t>
  </si>
  <si>
    <t>TblTest(This table will be part of default tables)</t>
  </si>
  <si>
    <t>IDTest</t>
  </si>
  <si>
    <t>TestCode</t>
  </si>
  <si>
    <t>TestName</t>
  </si>
  <si>
    <t>Unique</t>
  </si>
  <si>
    <t>isSpecialSolution</t>
  </si>
  <si>
    <t>CurveType</t>
  </si>
  <si>
    <t>Method</t>
  </si>
  <si>
    <t>Reagents</t>
  </si>
  <si>
    <t>Decimals</t>
  </si>
  <si>
    <t>BlankType</t>
  </si>
  <si>
    <t>TestSequence</t>
  </si>
  <si>
    <t>To note Special Solutions</t>
  </si>
  <si>
    <t>tblDictionary(DictionaryID)</t>
  </si>
  <si>
    <t>CurveType ID</t>
  </si>
  <si>
    <t>Method ID</t>
  </si>
  <si>
    <t>tblDictionaryValues(DictionaryItemValue)</t>
  </si>
  <si>
    <t>tblUnit(UnitID)</t>
  </si>
  <si>
    <t>Decimals in the final result</t>
  </si>
  <si>
    <t>No of Reagents</t>
  </si>
  <si>
    <t>Blanking type-No,Reagent,Sample</t>
  </si>
  <si>
    <t>Methods</t>
  </si>
  <si>
    <t xml:space="preserve">Name </t>
  </si>
  <si>
    <t>ID</t>
  </si>
  <si>
    <t>End Point</t>
  </si>
  <si>
    <t>Fixed Time</t>
  </si>
  <si>
    <t>Kinetic</t>
  </si>
  <si>
    <t>Curve Types</t>
  </si>
  <si>
    <t>Name</t>
  </si>
  <si>
    <t>Kfactor</t>
  </si>
  <si>
    <t>One-Point</t>
  </si>
  <si>
    <t>Two-point</t>
  </si>
  <si>
    <t>Multi-point Linear</t>
  </si>
  <si>
    <t>Parabola</t>
  </si>
  <si>
    <t>Polynomial</t>
  </si>
  <si>
    <t>Exponential</t>
  </si>
  <si>
    <t>Spline</t>
  </si>
  <si>
    <t>LogitLog 4P</t>
  </si>
  <si>
    <t>LogitLog 5P</t>
  </si>
  <si>
    <t>Filters</t>
  </si>
  <si>
    <t xml:space="preserve"> </t>
  </si>
  <si>
    <t>Blanking Type</t>
  </si>
  <si>
    <t>No Blank</t>
  </si>
  <si>
    <t>Reagent Blank</t>
  </si>
  <si>
    <t>Sample Blank</t>
  </si>
  <si>
    <t>R1 Short</t>
  </si>
  <si>
    <t>R2 Short</t>
  </si>
  <si>
    <t>SMP Short</t>
  </si>
  <si>
    <t>&gt;LIN</t>
  </si>
  <si>
    <t>AD</t>
  </si>
  <si>
    <t>RB</t>
  </si>
  <si>
    <t>PD</t>
  </si>
  <si>
    <t>OD*</t>
  </si>
  <si>
    <t>High</t>
  </si>
  <si>
    <t>Low</t>
  </si>
  <si>
    <t>RBL</t>
  </si>
  <si>
    <t>RBH</t>
  </si>
  <si>
    <t>HOD</t>
  </si>
  <si>
    <t>VOD</t>
  </si>
  <si>
    <t>PL</t>
  </si>
  <si>
    <t>N/A</t>
  </si>
  <si>
    <t>Flags</t>
  </si>
  <si>
    <t>TblTestDetails(This table will be part of default tables)</t>
  </si>
  <si>
    <t>IDTestDetails</t>
  </si>
  <si>
    <t>Test ID</t>
  </si>
  <si>
    <t>Test Name</t>
  </si>
  <si>
    <t>PrimaryFilter</t>
  </si>
  <si>
    <t>SecondaryFilter</t>
  </si>
  <si>
    <t>None</t>
  </si>
  <si>
    <t>Linearity</t>
  </si>
  <si>
    <t>SubstrateDepletion</t>
  </si>
  <si>
    <t>DelayedR2</t>
  </si>
  <si>
    <t>IncubationTime</t>
  </si>
  <si>
    <t>ReadingTime</t>
  </si>
  <si>
    <t>CorelationA</t>
  </si>
  <si>
    <t>CorelationB</t>
  </si>
  <si>
    <t>R1Volume</t>
  </si>
  <si>
    <t>R2Volume</t>
  </si>
  <si>
    <t>OutPreparationSample</t>
  </si>
  <si>
    <t>OutPreparationVolume</t>
  </si>
  <si>
    <t>SampleVolumeNormal</t>
  </si>
  <si>
    <t>SampleVolumeInc</t>
  </si>
  <si>
    <t>SampleVolumeDec</t>
  </si>
  <si>
    <t>AutoDilutionRatio</t>
  </si>
  <si>
    <t>StirrerSpeedR1</t>
  </si>
  <si>
    <t>StirrerSpeedR2</t>
  </si>
  <si>
    <t>CurrentReagentBlank</t>
  </si>
  <si>
    <t>LowReagentBlank</t>
  </si>
  <si>
    <t>HighReagentBlank</t>
  </si>
  <si>
    <t>TblTest(IDTest)</t>
  </si>
  <si>
    <t>Primary Filter for Test</t>
  </si>
  <si>
    <t>Secondary Filter for Test</t>
  </si>
  <si>
    <t>Delayed for Test</t>
  </si>
  <si>
    <t>Out Preparation Sample for Test</t>
  </si>
  <si>
    <t>Linearity for Test</t>
  </si>
  <si>
    <t>Substrate Depletion for Test</t>
  </si>
  <si>
    <t>Incubation Time for Test</t>
  </si>
  <si>
    <t>Reading Time for Test</t>
  </si>
  <si>
    <t>Corelation for Test</t>
  </si>
  <si>
    <t>R1Volume for Test</t>
  </si>
  <si>
    <t>R2Volume for Test</t>
  </si>
  <si>
    <t>Out Preparation Volume for Test</t>
  </si>
  <si>
    <t>Sample Volume Normal for Test</t>
  </si>
  <si>
    <t>Sample Volume Inc for Test</t>
  </si>
  <si>
    <t>Sample Volume Dec for Test</t>
  </si>
  <si>
    <t>Auto Dilution Ratio for Test</t>
  </si>
  <si>
    <t>Stirrer Speed for Test</t>
  </si>
  <si>
    <t>Current Reagent Blank for Test</t>
  </si>
  <si>
    <t>Low Reagent Blank for Test</t>
  </si>
  <si>
    <t>High Reagent Blank for Test</t>
  </si>
  <si>
    <t xml:space="preserve">int </t>
  </si>
  <si>
    <t>double</t>
  </si>
  <si>
    <t xml:space="preserve">double </t>
  </si>
  <si>
    <t>40. &gt;40 should be squares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</si>
</sst>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9E1F2"/>
        <bgColor rgb="FFD9E1F2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quotePrefix="1"/>
    <xf numFmtId="0" fontId="0" fillId="2" borderId="1" xfId="0" applyFont="1" applyFill="1" applyBorder="1"/>
    <xf numFmtId="0" fontId="0" fillId="2" borderId="2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1" fillId="0" borderId="3" xfId="0" applyFont="1" applyBorder="1" applyAlignment="1">
      <alignment horizontal="center"/>
    </xf>
    <xf numFmtId="0" fontId="0" fillId="0" borderId="0" xfId="0" applyAlignment="1">
      <alignment wrapText="1"/>
    </xf>
    <xf numFmtId="0" fontId="4" fillId="3" borderId="4" xfId="0" applyFont="1" applyFill="1" applyBorder="1"/>
    <xf numFmtId="0" fontId="0" fillId="0" borderId="5" xfId="0" applyFont="1" applyBorder="1"/>
    <xf numFmtId="0" fontId="0" fillId="0" borderId="6" xfId="0" applyFont="1" applyBorder="1"/>
    <xf numFmtId="0" fontId="0" fillId="0" borderId="0" xfId="0" applyAlignment="1">
      <alignment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hir" id="{C1EE1416-93D7-4365-ABB4-B49D1C7339E3}" userId="S::Mihir@shlpl.in::93048471-1b55-49df-a24f-057f0a65514b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B77E548-D934-4CC0-8955-C21553C93AB4}" name="Table4" displayName="Table4" ref="C4:L13" totalsRowShown="0">
  <autoFilter ref="C4:L13" xr:uid="{CB77E548-D934-4CC0-8955-C21553C93AB4}"/>
  <tableColumns count="10">
    <tableColumn id="1" xr3:uid="{F2F9A223-497C-4FE6-83AE-6B77341F9D42}" name="SrNo.">
      <calculatedColumnFormula>C4+1</calculatedColumnFormula>
    </tableColumn>
    <tableColumn id="2" xr3:uid="{BE29C691-ACBC-4E09-83E2-257A4364086C}" name="ColumnName"/>
    <tableColumn id="3" xr3:uid="{798DF3D7-5C07-4992-BB35-86AECEA3E089}" name="ColumnType"/>
    <tableColumn id="4" xr3:uid="{4290CA2C-5116-4B60-A5BD-2BF2A75541C8}" name="Key"/>
    <tableColumn id="5" xr3:uid="{BC2E8D38-DB1C-415E-A3F3-DB426168F0C3}" name="Max"/>
    <tableColumn id="6" xr3:uid="{F78215BE-F6A4-4235-911C-CD250FDF60B0}" name="NotNull"/>
    <tableColumn id="7" xr3:uid="{FE2AE5F8-325E-483A-A3C3-A693641B4C0D}" name="FK"/>
    <tableColumn id="8" xr3:uid="{8A141925-2BAB-4914-9D97-BE22A42E7B75}" name="Index"/>
    <tableColumn id="9" xr3:uid="{9702AC02-603D-4FD8-9709-A2F596EFD849}" name="Description/Remark"/>
    <tableColumn id="10" xr3:uid="{52E6EA91-F86A-4C23-88C1-464D21A20446}" name="DefaultValu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6F1B1E0-4161-410B-B837-1DD7E1B4F3C2}" name="Table46" displayName="Table46" ref="D4:M13" totalsRowShown="0">
  <autoFilter ref="D4:M13" xr:uid="{66F1B1E0-4161-410B-B837-1DD7E1B4F3C2}"/>
  <tableColumns count="10">
    <tableColumn id="1" xr3:uid="{AE22C80D-F19B-480B-B8B8-DB97D65146A9}" name="SrNo.">
      <calculatedColumnFormula>D4+1</calculatedColumnFormula>
    </tableColumn>
    <tableColumn id="2" xr3:uid="{94C8BFBE-F39C-4D83-9E7D-F3709817AB9A}" name="ColumnName"/>
    <tableColumn id="3" xr3:uid="{11A46615-FF45-4789-856D-8A20FB183B54}" name="ColumnType"/>
    <tableColumn id="4" xr3:uid="{7AACCE20-894D-40D8-9BC7-30167D2305F8}" name="Key"/>
    <tableColumn id="5" xr3:uid="{BD44FAEE-D594-4EE4-8C0D-F6A429D1734A}" name="Max"/>
    <tableColumn id="6" xr3:uid="{33565E80-014D-42D3-8F7C-B0B91C7FB02F}" name="NotNull"/>
    <tableColumn id="7" xr3:uid="{DD1B9A84-68BE-4CF4-B77A-F4C21A544A61}" name="FK"/>
    <tableColumn id="8" xr3:uid="{9C404EF9-2C1F-4FFE-9954-61DD6C515E7F}" name="Index"/>
    <tableColumn id="9" xr3:uid="{0A89F839-B0A0-4FA5-B56D-2106D383405F}" name="Description/Remark"/>
    <tableColumn id="10" xr3:uid="{1E6556A7-EFB9-485D-AF9F-89A2FE616FCC}" name="DefaultValu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3FDCCD7-C3C2-48D7-A8AB-0B25A85697AD}" name="Table469" displayName="Table469" ref="D4:M14" totalsRowShown="0">
  <autoFilter ref="D4:M14" xr:uid="{B3FDCCD7-C3C2-48D7-A8AB-0B25A85697AD}"/>
  <tableColumns count="10">
    <tableColumn id="1" xr3:uid="{BD6C8AD9-3CF8-4F23-BEFA-8FD91D77D9AC}" name="SrNo.">
      <calculatedColumnFormula>D4+1</calculatedColumnFormula>
    </tableColumn>
    <tableColumn id="2" xr3:uid="{CD533208-6487-4EAA-8507-BF6414FC8E48}" name="ColumnName"/>
    <tableColumn id="3" xr3:uid="{3E3A3358-7669-4F97-BABB-9A6537D37A75}" name="ColumnType"/>
    <tableColumn id="4" xr3:uid="{C81F07C1-A575-418C-B900-61C453D03DF6}" name="Key"/>
    <tableColumn id="5" xr3:uid="{FA525448-793E-4E6D-AF82-E7E0BA101DDD}" name="Max"/>
    <tableColumn id="6" xr3:uid="{8B2E786D-56CE-472E-A54C-E3DB0ACEF216}" name="NotNull"/>
    <tableColumn id="7" xr3:uid="{73BDCB24-D82B-47BE-89DE-C5E4158BAC51}" name="FK"/>
    <tableColumn id="8" xr3:uid="{5D9991C9-275A-444A-95AA-74E150ACD186}" name="Index"/>
    <tableColumn id="9" xr3:uid="{3235C1DD-FFD5-47E0-A7DE-176DD517052E}" name="Description/Remark"/>
    <tableColumn id="10" xr3:uid="{79E0F827-A2C8-466B-BAE8-1BAFCF30C160}" name="DefaultValu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19F99A5-2715-4E7F-8A4D-5931EE803AAA}" name="Table46910" displayName="Table46910" ref="D4:M12" totalsRowShown="0">
  <autoFilter ref="D4:M12" xr:uid="{319F99A5-2715-4E7F-8A4D-5931EE803AAA}"/>
  <tableColumns count="10">
    <tableColumn id="1" xr3:uid="{44FA916A-35C0-411F-A111-8917D10C5131}" name="SrNo.">
      <calculatedColumnFormula>D4+1</calculatedColumnFormula>
    </tableColumn>
    <tableColumn id="2" xr3:uid="{8F8A3C34-A94B-4197-977B-E8E4767E6937}" name="ColumnName"/>
    <tableColumn id="3" xr3:uid="{97F69D1E-0AFC-492B-93B6-9E87B6001444}" name="ColumnType"/>
    <tableColumn id="4" xr3:uid="{401ED43F-908D-496B-A8A8-890FE3EF2AAE}" name="Key"/>
    <tableColumn id="5" xr3:uid="{E1B7D0EF-84F5-49C0-AE52-7AC90295342F}" name="Max"/>
    <tableColumn id="6" xr3:uid="{A88259AC-5E64-4A22-919D-C950D9EFF652}" name="NotNull"/>
    <tableColumn id="7" xr3:uid="{3237F139-0292-4C7D-8B97-27A44824833B}" name="FK"/>
    <tableColumn id="8" xr3:uid="{B1E58C1E-5536-46E8-B6B7-A2BF486E7F7C}" name="Index"/>
    <tableColumn id="9" xr3:uid="{5186D3A5-4546-4058-8081-432032C3EB9B}" name="Description/Remark"/>
    <tableColumn id="10" xr3:uid="{AFD14410-1C48-4A0A-89BD-49FDAF9A4B7A}" name="DefaultValu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DC42F5E-CB25-44ED-9D4F-5FD5FEFFDE1C}" name="Table4691011" displayName="Table4691011" ref="D4:M14" totalsRowShown="0">
  <autoFilter ref="D4:M14" xr:uid="{6DC42F5E-CB25-44ED-9D4F-5FD5FEFFDE1C}"/>
  <tableColumns count="10">
    <tableColumn id="1" xr3:uid="{C84503C8-B03F-48D9-AA2C-B9F0E3CCBF0C}" name="SrNo.">
      <calculatedColumnFormula>D4+1</calculatedColumnFormula>
    </tableColumn>
    <tableColumn id="2" xr3:uid="{85DC5AE9-0650-443C-B7FC-7C1B9BDFBD9C}" name="ColumnName"/>
    <tableColumn id="3" xr3:uid="{79E8D1DB-D892-4BFB-AC6D-7E0094F01C24}" name="ColumnType"/>
    <tableColumn id="4" xr3:uid="{263BB758-FE2F-4165-8B76-7AC901170401}" name="Key"/>
    <tableColumn id="5" xr3:uid="{870AA3D3-7A4F-4017-8DC7-35FA361EFDB9}" name="Max"/>
    <tableColumn id="6" xr3:uid="{17D895E7-54C8-445D-B9CD-E87393B5CCCD}" name="NotNull"/>
    <tableColumn id="7" xr3:uid="{FED266F2-131E-4F42-B806-094C7BC3F752}" name="FK"/>
    <tableColumn id="8" xr3:uid="{CBA0DEA7-7858-4FF6-BCBE-496880BC9476}" name="Index"/>
    <tableColumn id="9" xr3:uid="{319A4CEA-AA59-43D8-ACD6-3A96E6105F6E}" name="Description/Remark"/>
    <tableColumn id="10" xr3:uid="{2959DF05-B716-4F96-A35B-B585E6EAEC3F}" name="DefaultValu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6FDA511-68C3-4646-9DE2-E7C9B3F52799}" name="Table4691012" displayName="Table4691012" ref="D4:M20" totalsRowShown="0">
  <autoFilter ref="D4:M20" xr:uid="{36FDA511-68C3-4646-9DE2-E7C9B3F52799}"/>
  <tableColumns count="10">
    <tableColumn id="1" xr3:uid="{FA1DD161-03DF-4A6E-A208-B5F3F2F2A23A}" name="SrNo.">
      <calculatedColumnFormula>D4+1</calculatedColumnFormula>
    </tableColumn>
    <tableColumn id="2" xr3:uid="{10B49CF5-F84E-40D6-8E0C-4CC820484D11}" name="ColumnName"/>
    <tableColumn id="3" xr3:uid="{87B2A929-C5B6-4FD9-B320-D3513A402998}" name="ColumnType"/>
    <tableColumn id="4" xr3:uid="{B663B244-4111-4D65-9520-24F448158115}" name="Key"/>
    <tableColumn id="5" xr3:uid="{9FA9BF78-EE0D-4144-8410-FF72D1376CEC}" name="Max"/>
    <tableColumn id="6" xr3:uid="{DA68CBC3-C41E-4BA3-8C0D-FA4813BB24C4}" name="NotNull"/>
    <tableColumn id="7" xr3:uid="{D93794C8-FDB1-4BD6-9BF2-D6AE335FA640}" name="FK"/>
    <tableColumn id="8" xr3:uid="{883CB790-F82B-411C-8286-0C53C8664723}" name="Index"/>
    <tableColumn id="9" xr3:uid="{79D3A232-5BFF-4B30-85D1-81DC0EEC276C}" name="Description/Remark"/>
    <tableColumn id="10" xr3:uid="{802344BC-B7C1-4F47-B85F-E9369ABF5352}" name="DefaultValu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A18F392-FE31-4618-A3DF-3E271C70F53C}" name="Table469101213" displayName="Table469101213" ref="D4:M28" totalsRowShown="0">
  <autoFilter ref="D4:M28" xr:uid="{CA18F392-FE31-4618-A3DF-3E271C70F53C}"/>
  <tableColumns count="10">
    <tableColumn id="1" xr3:uid="{C8D32CAA-8B37-49DC-A234-3197F00CB44D}" name="SrNo.">
      <calculatedColumnFormula>D4+1</calculatedColumnFormula>
    </tableColumn>
    <tableColumn id="2" xr3:uid="{A48EDCCE-9D9C-475B-B325-A8458730EE95}" name="ColumnName"/>
    <tableColumn id="3" xr3:uid="{A201744B-7BFD-4872-AFD8-65B3A4003F66}" name="ColumnType"/>
    <tableColumn id="4" xr3:uid="{A60CC6B5-4A79-4CC7-BCBD-AD4114AD296C}" name="Key"/>
    <tableColumn id="5" xr3:uid="{F9DEE2A5-32CA-4AF6-8EEE-C3AB346D977D}" name="Max"/>
    <tableColumn id="6" xr3:uid="{89D63AD0-F0FF-4A21-A091-1DEC75EEB125}" name="NotNull"/>
    <tableColumn id="7" xr3:uid="{42B81C98-F5E7-4E5E-AA23-1EC8728CF5D2}" name="FK"/>
    <tableColumn id="8" xr3:uid="{FF844070-DD2A-45A9-A8F1-0A865B85A897}" name="Index"/>
    <tableColumn id="9" xr3:uid="{EB4BFF13-CE68-4090-B264-117F0A251207}" name="Description/Remark"/>
    <tableColumn id="10" xr3:uid="{6A7AE065-D9B9-457D-984A-7EF0CE8CD5CC}" name="DefaultValu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2" dT="2026-03-24T04:48:47.54" personId="{C1EE1416-93D7-4365-ABB4-B49D1C7339E3}" id="{0A69C8AC-F771-4895-A892-43156EC7A5F5}">
    <text xml:space="preserve">Need to discuss whether to implement a modified by in the same table or create a new userChangeLog table for audit history purposes. 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8A30D-14B9-4146-B9B2-FBC048D1348B}">
  <dimension ref="C3:L13"/>
  <sheetViews>
    <sheetView workbookViewId="0">
      <selection activeCell="D12" sqref="D12"/>
    </sheetView>
  </sheetViews>
  <sheetFormatPr defaultRowHeight="14.4" x14ac:dyDescent="0.3"/>
  <cols>
    <col min="3" max="3" width="7.44140625" customWidth="1"/>
    <col min="4" max="4" width="16.6640625" bestFit="1" customWidth="1"/>
    <col min="5" max="5" width="13" customWidth="1"/>
    <col min="6" max="6" width="11.109375" customWidth="1"/>
    <col min="8" max="8" width="17" bestFit="1" customWidth="1"/>
    <col min="9" max="9" width="25.77734375" bestFit="1" customWidth="1"/>
    <col min="11" max="11" width="25.5546875" bestFit="1" customWidth="1"/>
    <col min="12" max="12" width="17" bestFit="1" customWidth="1"/>
  </cols>
  <sheetData>
    <row r="3" spans="3:12" x14ac:dyDescent="0.3">
      <c r="C3" s="6" t="s">
        <v>0</v>
      </c>
      <c r="D3" s="6"/>
      <c r="E3" s="6"/>
      <c r="F3" s="6"/>
      <c r="G3" s="6"/>
      <c r="H3" s="6"/>
      <c r="I3" s="6"/>
      <c r="J3" s="6"/>
      <c r="K3" s="6"/>
      <c r="L3" s="6"/>
    </row>
    <row r="4" spans="3:12" x14ac:dyDescent="0.3">
      <c r="C4" t="s">
        <v>1</v>
      </c>
      <c r="D4" t="s">
        <v>2</v>
      </c>
      <c r="E4" t="s">
        <v>3</v>
      </c>
      <c r="F4" t="s">
        <v>14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</row>
    <row r="5" spans="3:12" x14ac:dyDescent="0.3">
      <c r="C5">
        <v>1</v>
      </c>
      <c r="D5" t="s">
        <v>4</v>
      </c>
      <c r="E5" t="s">
        <v>5</v>
      </c>
      <c r="F5" t="s">
        <v>15</v>
      </c>
      <c r="G5" t="s">
        <v>16</v>
      </c>
      <c r="H5" t="s">
        <v>20</v>
      </c>
      <c r="I5" t="s">
        <v>16</v>
      </c>
      <c r="J5" t="s">
        <v>18</v>
      </c>
      <c r="K5" t="s">
        <v>19</v>
      </c>
      <c r="L5" t="s">
        <v>16</v>
      </c>
    </row>
    <row r="6" spans="3:12" x14ac:dyDescent="0.3">
      <c r="C6">
        <f>C5+1</f>
        <v>2</v>
      </c>
      <c r="D6" t="s">
        <v>6</v>
      </c>
      <c r="E6" t="s">
        <v>7</v>
      </c>
      <c r="G6">
        <v>50</v>
      </c>
      <c r="H6" t="s">
        <v>17</v>
      </c>
      <c r="I6" t="s">
        <v>16</v>
      </c>
      <c r="J6" t="s">
        <v>21</v>
      </c>
      <c r="K6" t="s">
        <v>22</v>
      </c>
      <c r="L6" s="1" t="s">
        <v>23</v>
      </c>
    </row>
    <row r="7" spans="3:12" x14ac:dyDescent="0.3">
      <c r="C7">
        <f>C6+1</f>
        <v>3</v>
      </c>
      <c r="D7" t="s">
        <v>24</v>
      </c>
      <c r="E7" t="s">
        <v>7</v>
      </c>
      <c r="G7">
        <v>60</v>
      </c>
      <c r="H7" t="s">
        <v>17</v>
      </c>
      <c r="I7" t="s">
        <v>16</v>
      </c>
      <c r="J7" t="s">
        <v>21</v>
      </c>
      <c r="K7" t="s">
        <v>25</v>
      </c>
      <c r="L7" t="s">
        <v>23</v>
      </c>
    </row>
    <row r="8" spans="3:12" x14ac:dyDescent="0.3">
      <c r="C8">
        <f>C7+1</f>
        <v>4</v>
      </c>
      <c r="D8" t="s">
        <v>26</v>
      </c>
      <c r="E8" t="s">
        <v>7</v>
      </c>
      <c r="G8">
        <v>100</v>
      </c>
      <c r="H8" t="s">
        <v>27</v>
      </c>
      <c r="I8" t="s">
        <v>16</v>
      </c>
      <c r="J8" t="s">
        <v>21</v>
      </c>
      <c r="K8" t="s">
        <v>28</v>
      </c>
      <c r="L8" t="s">
        <v>23</v>
      </c>
    </row>
    <row r="9" spans="3:12" x14ac:dyDescent="0.3">
      <c r="C9">
        <f>C8+1</f>
        <v>5</v>
      </c>
      <c r="D9" t="s">
        <v>29</v>
      </c>
      <c r="E9" t="s">
        <v>5</v>
      </c>
      <c r="F9" t="s">
        <v>30</v>
      </c>
      <c r="H9" t="s">
        <v>17</v>
      </c>
      <c r="I9" t="s">
        <v>34</v>
      </c>
      <c r="J9" t="s">
        <v>21</v>
      </c>
      <c r="K9" t="s">
        <v>31</v>
      </c>
      <c r="L9" t="s">
        <v>32</v>
      </c>
    </row>
    <row r="10" spans="3:12" x14ac:dyDescent="0.3">
      <c r="C10">
        <f>C9+1</f>
        <v>6</v>
      </c>
      <c r="D10" t="s">
        <v>33</v>
      </c>
      <c r="E10" t="s">
        <v>5</v>
      </c>
      <c r="F10" t="s">
        <v>30</v>
      </c>
      <c r="H10" t="s">
        <v>17</v>
      </c>
      <c r="I10" t="s">
        <v>35</v>
      </c>
      <c r="J10" t="s">
        <v>21</v>
      </c>
      <c r="K10" t="s">
        <v>36</v>
      </c>
      <c r="L10" t="s">
        <v>32</v>
      </c>
    </row>
    <row r="11" spans="3:12" x14ac:dyDescent="0.3">
      <c r="C11">
        <f>C10+1</f>
        <v>7</v>
      </c>
      <c r="D11" t="s">
        <v>37</v>
      </c>
      <c r="E11" t="s">
        <v>38</v>
      </c>
      <c r="H11" t="s">
        <v>17</v>
      </c>
      <c r="J11" t="s">
        <v>21</v>
      </c>
      <c r="K11" t="s">
        <v>36</v>
      </c>
      <c r="L11" t="s">
        <v>42</v>
      </c>
    </row>
    <row r="12" spans="3:12" x14ac:dyDescent="0.3">
      <c r="C12">
        <f>C11+1</f>
        <v>8</v>
      </c>
      <c r="D12" t="s">
        <v>39</v>
      </c>
      <c r="E12" t="s">
        <v>5</v>
      </c>
      <c r="F12" t="s">
        <v>30</v>
      </c>
      <c r="H12" t="s">
        <v>27</v>
      </c>
      <c r="I12" t="s">
        <v>35</v>
      </c>
      <c r="J12" t="s">
        <v>21</v>
      </c>
      <c r="K12" t="s">
        <v>36</v>
      </c>
    </row>
    <row r="13" spans="3:12" x14ac:dyDescent="0.3">
      <c r="C13">
        <f>C12+1</f>
        <v>9</v>
      </c>
      <c r="D13" t="s">
        <v>40</v>
      </c>
      <c r="E13" t="s">
        <v>41</v>
      </c>
      <c r="H13" t="s">
        <v>27</v>
      </c>
      <c r="K13" t="s">
        <v>36</v>
      </c>
    </row>
  </sheetData>
  <mergeCells count="1">
    <mergeCell ref="C3:L3"/>
  </mergeCells>
  <dataValidations count="2">
    <dataValidation type="list" allowBlank="1" showInputMessage="1" showErrorMessage="1" sqref="H5:H1048576" xr:uid="{ED5F31FF-2E42-493B-B219-7080921EB90A}">
      <formula1>"AUTO_INCREMENT,*,Nullable"</formula1>
    </dataValidation>
    <dataValidation type="list" allowBlank="1" showInputMessage="1" showErrorMessage="1" sqref="J5:J1048576" xr:uid="{F9FC6443-B484-48E6-B3E0-D4BF6B115907}">
      <formula1>"Yes,No"</formula1>
    </dataValidation>
  </dataValidations>
  <pageMargins left="0.7" right="0.7" top="0.75" bottom="0.75" header="0.3" footer="0.3"/>
  <pageSetup orientation="portrait" horizontalDpi="360" verticalDpi="360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08DCF-7437-4EBA-983B-4D6CDB4A7E6A}">
  <dimension ref="D3:M13"/>
  <sheetViews>
    <sheetView workbookViewId="0">
      <selection activeCell="E10" sqref="E10:M13"/>
    </sheetView>
  </sheetViews>
  <sheetFormatPr defaultRowHeight="14.4" x14ac:dyDescent="0.3"/>
  <cols>
    <col min="4" max="4" width="7.88671875" bestFit="1" customWidth="1"/>
    <col min="5" max="5" width="23.5546875" bestFit="1" customWidth="1"/>
    <col min="6" max="6" width="13.88671875" bestFit="1" customWidth="1"/>
    <col min="7" max="7" width="10.109375" bestFit="1" customWidth="1"/>
    <col min="8" max="8" width="6.88671875" bestFit="1" customWidth="1"/>
    <col min="9" max="9" width="17" bestFit="1" customWidth="1"/>
    <col min="10" max="10" width="23.33203125" bestFit="1" customWidth="1"/>
    <col min="11" max="11" width="7.88671875" bestFit="1" customWidth="1"/>
    <col min="12" max="12" width="35.33203125" bestFit="1" customWidth="1"/>
    <col min="13" max="13" width="21.88671875" bestFit="1" customWidth="1"/>
  </cols>
  <sheetData>
    <row r="3" spans="4:13" x14ac:dyDescent="0.3">
      <c r="D3" s="6" t="s">
        <v>50</v>
      </c>
      <c r="E3" s="6"/>
      <c r="F3" s="6"/>
      <c r="G3" s="6"/>
      <c r="H3" s="6"/>
      <c r="I3" s="6"/>
      <c r="J3" s="6"/>
      <c r="K3" s="6"/>
      <c r="L3" s="6"/>
      <c r="M3" s="6"/>
    </row>
    <row r="4" spans="4:13" x14ac:dyDescent="0.3">
      <c r="D4" t="s">
        <v>1</v>
      </c>
      <c r="E4" t="s">
        <v>2</v>
      </c>
      <c r="F4" t="s">
        <v>3</v>
      </c>
      <c r="G4" t="s">
        <v>14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M4" t="s">
        <v>13</v>
      </c>
    </row>
    <row r="5" spans="4:13" x14ac:dyDescent="0.3">
      <c r="D5">
        <v>1</v>
      </c>
      <c r="E5" t="s">
        <v>51</v>
      </c>
      <c r="F5" t="s">
        <v>5</v>
      </c>
      <c r="G5" t="s">
        <v>15</v>
      </c>
      <c r="I5" t="s">
        <v>20</v>
      </c>
      <c r="K5" t="s">
        <v>18</v>
      </c>
    </row>
    <row r="6" spans="4:13" x14ac:dyDescent="0.3">
      <c r="D6">
        <f>D5+1</f>
        <v>2</v>
      </c>
      <c r="E6" t="s">
        <v>52</v>
      </c>
      <c r="F6" t="s">
        <v>7</v>
      </c>
      <c r="H6">
        <v>30</v>
      </c>
      <c r="I6" t="s">
        <v>17</v>
      </c>
      <c r="K6" t="s">
        <v>21</v>
      </c>
      <c r="L6" t="s">
        <v>53</v>
      </c>
      <c r="M6" s="1"/>
    </row>
    <row r="7" spans="4:13" x14ac:dyDescent="0.3">
      <c r="D7">
        <f>D6+1</f>
        <v>3</v>
      </c>
      <c r="E7" t="s">
        <v>54</v>
      </c>
      <c r="F7" t="s">
        <v>7</v>
      </c>
      <c r="H7">
        <v>100</v>
      </c>
      <c r="I7" t="s">
        <v>17</v>
      </c>
      <c r="K7" t="s">
        <v>21</v>
      </c>
      <c r="L7" t="s">
        <v>55</v>
      </c>
    </row>
    <row r="8" spans="4:13" x14ac:dyDescent="0.3">
      <c r="D8">
        <f>D7+1</f>
        <v>4</v>
      </c>
      <c r="E8" t="s">
        <v>43</v>
      </c>
      <c r="F8" t="s">
        <v>45</v>
      </c>
      <c r="I8" t="s">
        <v>17</v>
      </c>
      <c r="K8" t="s">
        <v>21</v>
      </c>
      <c r="L8" t="s">
        <v>56</v>
      </c>
      <c r="M8" t="s">
        <v>47</v>
      </c>
    </row>
    <row r="9" spans="4:13" x14ac:dyDescent="0.3">
      <c r="D9">
        <f>D8+1</f>
        <v>5</v>
      </c>
      <c r="E9" t="s">
        <v>44</v>
      </c>
      <c r="F9" t="s">
        <v>45</v>
      </c>
      <c r="I9" t="s">
        <v>17</v>
      </c>
      <c r="K9" t="s">
        <v>21</v>
      </c>
      <c r="L9" t="s">
        <v>57</v>
      </c>
      <c r="M9" t="b">
        <v>1</v>
      </c>
    </row>
    <row r="10" spans="4:13" x14ac:dyDescent="0.3">
      <c r="D10">
        <f>D9+1</f>
        <v>6</v>
      </c>
      <c r="E10" t="s">
        <v>33</v>
      </c>
      <c r="F10" t="s">
        <v>5</v>
      </c>
      <c r="G10" t="s">
        <v>30</v>
      </c>
      <c r="I10" t="s">
        <v>17</v>
      </c>
      <c r="J10" t="s">
        <v>35</v>
      </c>
      <c r="K10" t="s">
        <v>21</v>
      </c>
      <c r="L10" t="s">
        <v>36</v>
      </c>
      <c r="M10" t="s">
        <v>32</v>
      </c>
    </row>
    <row r="11" spans="4:13" x14ac:dyDescent="0.3">
      <c r="D11">
        <f>D10+1</f>
        <v>7</v>
      </c>
      <c r="E11" t="s">
        <v>37</v>
      </c>
      <c r="F11" t="s">
        <v>38</v>
      </c>
      <c r="I11" t="s">
        <v>17</v>
      </c>
      <c r="K11" t="s">
        <v>21</v>
      </c>
      <c r="L11" t="s">
        <v>36</v>
      </c>
      <c r="M11" t="s">
        <v>42</v>
      </c>
    </row>
    <row r="12" spans="4:13" x14ac:dyDescent="0.3">
      <c r="D12">
        <f>D11+1</f>
        <v>8</v>
      </c>
      <c r="E12" t="s">
        <v>48</v>
      </c>
      <c r="F12" t="s">
        <v>5</v>
      </c>
      <c r="G12" t="s">
        <v>30</v>
      </c>
      <c r="I12" t="s">
        <v>27</v>
      </c>
      <c r="J12" t="s">
        <v>35</v>
      </c>
      <c r="K12" t="s">
        <v>21</v>
      </c>
      <c r="L12" t="s">
        <v>36</v>
      </c>
    </row>
    <row r="13" spans="4:13" x14ac:dyDescent="0.3">
      <c r="D13">
        <f>D12+1</f>
        <v>9</v>
      </c>
      <c r="E13" t="s">
        <v>49</v>
      </c>
      <c r="F13" t="s">
        <v>41</v>
      </c>
      <c r="I13" t="s">
        <v>27</v>
      </c>
      <c r="L13" t="s">
        <v>36</v>
      </c>
    </row>
  </sheetData>
  <mergeCells count="1">
    <mergeCell ref="D3:M3"/>
  </mergeCells>
  <phoneticPr fontId="3" type="noConversion"/>
  <dataValidations count="2">
    <dataValidation type="list" allowBlank="1" showInputMessage="1" showErrorMessage="1" sqref="K5:K13" xr:uid="{3A3AB5B3-33A4-41AE-8593-02D39870AC0A}">
      <formula1>"Yes,No"</formula1>
    </dataValidation>
    <dataValidation type="list" allowBlank="1" showInputMessage="1" showErrorMessage="1" sqref="I5:I13" xr:uid="{6066706B-3D91-44B6-A59F-597725CD420F}">
      <formula1>"AUTO_INCREMENT,*,Nullable"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4963D-4F14-4BBA-AC1F-21C943312948}">
  <dimension ref="D3:M54"/>
  <sheetViews>
    <sheetView workbookViewId="0">
      <selection activeCell="L27" sqref="L27"/>
    </sheetView>
  </sheetViews>
  <sheetFormatPr defaultRowHeight="14.4" x14ac:dyDescent="0.3"/>
  <cols>
    <col min="4" max="4" width="7.88671875" bestFit="1" customWidth="1"/>
    <col min="5" max="5" width="23.5546875" bestFit="1" customWidth="1"/>
    <col min="6" max="6" width="13.88671875" bestFit="1" customWidth="1"/>
    <col min="7" max="7" width="10.109375" bestFit="1" customWidth="1"/>
    <col min="8" max="8" width="6.88671875" bestFit="1" customWidth="1"/>
    <col min="9" max="9" width="17" bestFit="1" customWidth="1"/>
    <col min="10" max="10" width="23" bestFit="1" customWidth="1"/>
    <col min="11" max="11" width="7.88671875" bestFit="1" customWidth="1"/>
    <col min="12" max="12" width="41.109375" bestFit="1" customWidth="1"/>
    <col min="13" max="13" width="21.88671875" bestFit="1" customWidth="1"/>
  </cols>
  <sheetData>
    <row r="3" spans="4:13" x14ac:dyDescent="0.3">
      <c r="D3" s="6" t="s">
        <v>58</v>
      </c>
      <c r="E3" s="6"/>
      <c r="F3" s="6"/>
      <c r="G3" s="6"/>
      <c r="H3" s="6"/>
      <c r="I3" s="6"/>
      <c r="J3" s="6"/>
      <c r="K3" s="6"/>
      <c r="L3" s="6"/>
      <c r="M3" s="6"/>
    </row>
    <row r="4" spans="4:13" x14ac:dyDescent="0.3">
      <c r="D4" t="s">
        <v>1</v>
      </c>
      <c r="E4" t="s">
        <v>2</v>
      </c>
      <c r="F4" t="s">
        <v>3</v>
      </c>
      <c r="G4" t="s">
        <v>14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M4" t="s">
        <v>13</v>
      </c>
    </row>
    <row r="5" spans="4:13" x14ac:dyDescent="0.3">
      <c r="D5">
        <v>1</v>
      </c>
      <c r="E5" t="s">
        <v>59</v>
      </c>
      <c r="F5" t="s">
        <v>5</v>
      </c>
      <c r="G5" t="s">
        <v>15</v>
      </c>
      <c r="I5" t="s">
        <v>20</v>
      </c>
      <c r="K5" t="s">
        <v>18</v>
      </c>
    </row>
    <row r="6" spans="4:13" x14ac:dyDescent="0.3">
      <c r="D6">
        <f>D5+1</f>
        <v>2</v>
      </c>
      <c r="E6" t="s">
        <v>60</v>
      </c>
      <c r="F6" t="s">
        <v>7</v>
      </c>
      <c r="H6">
        <v>100</v>
      </c>
      <c r="I6" t="s">
        <v>17</v>
      </c>
      <c r="K6" t="s">
        <v>21</v>
      </c>
      <c r="L6" t="s">
        <v>61</v>
      </c>
      <c r="M6" s="1"/>
    </row>
    <row r="7" spans="4:13" x14ac:dyDescent="0.3">
      <c r="D7">
        <f>D6+1</f>
        <v>3</v>
      </c>
      <c r="E7" t="s">
        <v>62</v>
      </c>
      <c r="F7" t="s">
        <v>7</v>
      </c>
      <c r="H7">
        <v>250</v>
      </c>
      <c r="I7" t="s">
        <v>17</v>
      </c>
      <c r="K7" t="s">
        <v>21</v>
      </c>
      <c r="L7" t="s">
        <v>63</v>
      </c>
    </row>
    <row r="8" spans="4:13" x14ac:dyDescent="0.3">
      <c r="D8">
        <f>D7+1</f>
        <v>4</v>
      </c>
      <c r="E8" t="s">
        <v>64</v>
      </c>
      <c r="F8" t="s">
        <v>5</v>
      </c>
      <c r="I8" t="s">
        <v>17</v>
      </c>
      <c r="K8" t="s">
        <v>21</v>
      </c>
      <c r="L8" t="s">
        <v>65</v>
      </c>
    </row>
    <row r="9" spans="4:13" x14ac:dyDescent="0.3">
      <c r="D9">
        <f>D8+1</f>
        <v>5</v>
      </c>
      <c r="E9" t="s">
        <v>46</v>
      </c>
      <c r="F9" t="s">
        <v>5</v>
      </c>
      <c r="J9" t="s">
        <v>95</v>
      </c>
    </row>
    <row r="10" spans="4:13" x14ac:dyDescent="0.3">
      <c r="D10">
        <f>D8+1</f>
        <v>5</v>
      </c>
      <c r="E10" t="s">
        <v>44</v>
      </c>
      <c r="F10" t="s">
        <v>45</v>
      </c>
      <c r="I10" t="s">
        <v>17</v>
      </c>
      <c r="K10" t="s">
        <v>21</v>
      </c>
      <c r="L10" t="s">
        <v>66</v>
      </c>
      <c r="M10" t="b">
        <v>1</v>
      </c>
    </row>
    <row r="11" spans="4:13" x14ac:dyDescent="0.3">
      <c r="D11">
        <f>D10+1</f>
        <v>6</v>
      </c>
      <c r="E11" t="s">
        <v>33</v>
      </c>
      <c r="F11" t="s">
        <v>5</v>
      </c>
      <c r="G11" t="s">
        <v>30</v>
      </c>
      <c r="I11" t="s">
        <v>17</v>
      </c>
      <c r="J11" t="s">
        <v>35</v>
      </c>
      <c r="K11" t="s">
        <v>21</v>
      </c>
      <c r="L11" t="s">
        <v>36</v>
      </c>
      <c r="M11" t="s">
        <v>32</v>
      </c>
    </row>
    <row r="12" spans="4:13" x14ac:dyDescent="0.3">
      <c r="D12">
        <f>D11+1</f>
        <v>7</v>
      </c>
      <c r="E12" t="s">
        <v>37</v>
      </c>
      <c r="F12" t="s">
        <v>38</v>
      </c>
      <c r="I12" t="s">
        <v>17</v>
      </c>
      <c r="K12" t="s">
        <v>21</v>
      </c>
      <c r="L12" t="s">
        <v>36</v>
      </c>
      <c r="M12" t="s">
        <v>42</v>
      </c>
    </row>
    <row r="13" spans="4:13" x14ac:dyDescent="0.3">
      <c r="D13">
        <f>D12+1</f>
        <v>8</v>
      </c>
      <c r="E13" t="s">
        <v>48</v>
      </c>
      <c r="F13" t="s">
        <v>5</v>
      </c>
      <c r="G13" t="s">
        <v>30</v>
      </c>
      <c r="I13" t="s">
        <v>27</v>
      </c>
      <c r="J13" t="s">
        <v>35</v>
      </c>
      <c r="K13" t="s">
        <v>21</v>
      </c>
      <c r="L13" t="s">
        <v>36</v>
      </c>
    </row>
    <row r="14" spans="4:13" x14ac:dyDescent="0.3">
      <c r="D14">
        <f>D13+1</f>
        <v>9</v>
      </c>
      <c r="E14" t="s">
        <v>49</v>
      </c>
      <c r="F14" t="s">
        <v>41</v>
      </c>
      <c r="I14" t="s">
        <v>27</v>
      </c>
      <c r="L14" t="s">
        <v>36</v>
      </c>
    </row>
    <row r="16" spans="4:13" x14ac:dyDescent="0.3">
      <c r="I16" t="s">
        <v>121</v>
      </c>
    </row>
    <row r="17" spans="5:12" x14ac:dyDescent="0.3">
      <c r="I17" t="s">
        <v>110</v>
      </c>
      <c r="J17" t="s">
        <v>105</v>
      </c>
    </row>
    <row r="18" spans="5:12" x14ac:dyDescent="0.3">
      <c r="E18" t="s">
        <v>103</v>
      </c>
      <c r="I18" t="s">
        <v>150</v>
      </c>
      <c r="J18">
        <v>0</v>
      </c>
    </row>
    <row r="19" spans="5:12" x14ac:dyDescent="0.3">
      <c r="E19" t="s">
        <v>104</v>
      </c>
      <c r="F19" t="s">
        <v>105</v>
      </c>
      <c r="I19" s="11">
        <v>340</v>
      </c>
      <c r="J19">
        <v>1</v>
      </c>
    </row>
    <row r="20" spans="5:12" x14ac:dyDescent="0.3">
      <c r="E20" t="s">
        <v>106</v>
      </c>
      <c r="F20">
        <v>0</v>
      </c>
      <c r="I20" s="11">
        <v>405</v>
      </c>
      <c r="J20">
        <v>2</v>
      </c>
    </row>
    <row r="21" spans="5:12" x14ac:dyDescent="0.3">
      <c r="E21" t="s">
        <v>107</v>
      </c>
      <c r="F21">
        <v>1</v>
      </c>
      <c r="I21" s="11">
        <v>450</v>
      </c>
      <c r="J21">
        <v>3</v>
      </c>
    </row>
    <row r="22" spans="5:12" x14ac:dyDescent="0.3">
      <c r="E22" t="s">
        <v>108</v>
      </c>
      <c r="F22">
        <v>2</v>
      </c>
      <c r="I22" s="11">
        <v>505</v>
      </c>
      <c r="J22">
        <v>4</v>
      </c>
    </row>
    <row r="23" spans="5:12" x14ac:dyDescent="0.3">
      <c r="I23" s="11">
        <v>546</v>
      </c>
      <c r="J23">
        <v>5</v>
      </c>
    </row>
    <row r="24" spans="5:12" x14ac:dyDescent="0.3">
      <c r="E24" t="s">
        <v>109</v>
      </c>
      <c r="I24" s="11">
        <v>578</v>
      </c>
      <c r="J24">
        <v>6</v>
      </c>
    </row>
    <row r="25" spans="5:12" x14ac:dyDescent="0.3">
      <c r="E25" t="s">
        <v>110</v>
      </c>
      <c r="F25" t="s">
        <v>105</v>
      </c>
      <c r="I25" s="11">
        <v>620</v>
      </c>
      <c r="J25">
        <v>7</v>
      </c>
    </row>
    <row r="26" spans="5:12" x14ac:dyDescent="0.3">
      <c r="E26" t="s">
        <v>111</v>
      </c>
      <c r="F26">
        <v>1</v>
      </c>
      <c r="I26" s="11">
        <v>670</v>
      </c>
      <c r="J26">
        <v>8</v>
      </c>
      <c r="L26" t="s">
        <v>122</v>
      </c>
    </row>
    <row r="27" spans="5:12" x14ac:dyDescent="0.3">
      <c r="E27" t="s">
        <v>112</v>
      </c>
      <c r="F27">
        <v>2</v>
      </c>
      <c r="I27" s="11">
        <v>700</v>
      </c>
      <c r="J27">
        <v>9</v>
      </c>
    </row>
    <row r="28" spans="5:12" x14ac:dyDescent="0.3">
      <c r="E28" t="s">
        <v>113</v>
      </c>
      <c r="F28">
        <v>3</v>
      </c>
    </row>
    <row r="29" spans="5:12" x14ac:dyDescent="0.3">
      <c r="E29" t="s">
        <v>114</v>
      </c>
      <c r="F29">
        <v>4</v>
      </c>
      <c r="I29" t="s">
        <v>123</v>
      </c>
    </row>
    <row r="30" spans="5:12" x14ac:dyDescent="0.3">
      <c r="E30" t="s">
        <v>115</v>
      </c>
      <c r="F30">
        <v>5</v>
      </c>
      <c r="I30" s="11" t="s">
        <v>124</v>
      </c>
      <c r="J30">
        <v>0</v>
      </c>
    </row>
    <row r="31" spans="5:12" x14ac:dyDescent="0.3">
      <c r="E31" t="s">
        <v>116</v>
      </c>
      <c r="F31">
        <v>6</v>
      </c>
      <c r="I31" s="11" t="s">
        <v>125</v>
      </c>
      <c r="J31">
        <v>1</v>
      </c>
    </row>
    <row r="32" spans="5:12" x14ac:dyDescent="0.3">
      <c r="E32" t="s">
        <v>117</v>
      </c>
      <c r="F32">
        <v>7</v>
      </c>
      <c r="I32" s="11" t="s">
        <v>126</v>
      </c>
      <c r="J32">
        <v>2</v>
      </c>
    </row>
    <row r="33" spans="5:6" x14ac:dyDescent="0.3">
      <c r="E33" t="s">
        <v>118</v>
      </c>
      <c r="F33">
        <v>8</v>
      </c>
    </row>
    <row r="34" spans="5:6" x14ac:dyDescent="0.3">
      <c r="E34" t="s">
        <v>119</v>
      </c>
      <c r="F34">
        <v>9</v>
      </c>
    </row>
    <row r="35" spans="5:6" x14ac:dyDescent="0.3">
      <c r="E35" t="s">
        <v>120</v>
      </c>
      <c r="F35">
        <v>10</v>
      </c>
    </row>
    <row r="37" spans="5:6" x14ac:dyDescent="0.3">
      <c r="E37" t="s">
        <v>143</v>
      </c>
    </row>
    <row r="38" spans="5:6" x14ac:dyDescent="0.3">
      <c r="E38" t="s">
        <v>104</v>
      </c>
      <c r="F38" t="s">
        <v>105</v>
      </c>
    </row>
    <row r="39" spans="5:6" x14ac:dyDescent="0.3">
      <c r="E39" t="s">
        <v>127</v>
      </c>
      <c r="F39">
        <v>1</v>
      </c>
    </row>
    <row r="40" spans="5:6" x14ac:dyDescent="0.3">
      <c r="E40" t="s">
        <v>128</v>
      </c>
      <c r="F40">
        <v>2</v>
      </c>
    </row>
    <row r="41" spans="5:6" x14ac:dyDescent="0.3">
      <c r="E41" t="s">
        <v>129</v>
      </c>
      <c r="F41">
        <v>3</v>
      </c>
    </row>
    <row r="42" spans="5:6" x14ac:dyDescent="0.3">
      <c r="E42" t="s">
        <v>130</v>
      </c>
      <c r="F42">
        <v>4</v>
      </c>
    </row>
    <row r="43" spans="5:6" x14ac:dyDescent="0.3">
      <c r="E43" t="s">
        <v>131</v>
      </c>
      <c r="F43">
        <v>5</v>
      </c>
    </row>
    <row r="44" spans="5:6" x14ac:dyDescent="0.3">
      <c r="E44" t="s">
        <v>132</v>
      </c>
      <c r="F44">
        <v>6</v>
      </c>
    </row>
    <row r="45" spans="5:6" x14ac:dyDescent="0.3">
      <c r="E45" t="s">
        <v>133</v>
      </c>
      <c r="F45">
        <v>7</v>
      </c>
    </row>
    <row r="46" spans="5:6" x14ac:dyDescent="0.3">
      <c r="E46" t="s">
        <v>134</v>
      </c>
      <c r="F46">
        <v>8</v>
      </c>
    </row>
    <row r="47" spans="5:6" x14ac:dyDescent="0.3">
      <c r="E47" t="s">
        <v>135</v>
      </c>
      <c r="F47">
        <v>9</v>
      </c>
    </row>
    <row r="48" spans="5:6" x14ac:dyDescent="0.3">
      <c r="E48" t="s">
        <v>136</v>
      </c>
      <c r="F48">
        <v>10</v>
      </c>
    </row>
    <row r="49" spans="5:6" x14ac:dyDescent="0.3">
      <c r="E49" t="s">
        <v>137</v>
      </c>
      <c r="F49">
        <v>11</v>
      </c>
    </row>
    <row r="50" spans="5:6" x14ac:dyDescent="0.3">
      <c r="E50" t="s">
        <v>138</v>
      </c>
      <c r="F50">
        <v>12</v>
      </c>
    </row>
    <row r="51" spans="5:6" x14ac:dyDescent="0.3">
      <c r="E51" t="s">
        <v>139</v>
      </c>
      <c r="F51">
        <v>13</v>
      </c>
    </row>
    <row r="52" spans="5:6" x14ac:dyDescent="0.3">
      <c r="E52" t="s">
        <v>140</v>
      </c>
      <c r="F52">
        <v>14</v>
      </c>
    </row>
    <row r="53" spans="5:6" x14ac:dyDescent="0.3">
      <c r="E53" t="s">
        <v>141</v>
      </c>
      <c r="F53">
        <v>15</v>
      </c>
    </row>
    <row r="54" spans="5:6" x14ac:dyDescent="0.3">
      <c r="E54" t="s">
        <v>142</v>
      </c>
      <c r="F54">
        <v>16</v>
      </c>
    </row>
  </sheetData>
  <mergeCells count="1">
    <mergeCell ref="D3:M3"/>
  </mergeCells>
  <dataValidations disablePrompts="1" count="2">
    <dataValidation type="list" allowBlank="1" showInputMessage="1" showErrorMessage="1" sqref="I5:I14" xr:uid="{6FB24C96-BC15-4F6F-A971-9F7440F32883}">
      <formula1>"AUTO_INCREMENT,*,Nullable"</formula1>
    </dataValidation>
    <dataValidation type="list" allowBlank="1" showInputMessage="1" showErrorMessage="1" sqref="K5:K14" xr:uid="{D051FB3D-F8BB-4A65-9008-A78393756C82}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8D507-62A2-4E68-A719-F8A41F762AC8}">
  <dimension ref="D3:M12"/>
  <sheetViews>
    <sheetView workbookViewId="0">
      <selection activeCell="J18" sqref="J18"/>
    </sheetView>
  </sheetViews>
  <sheetFormatPr defaultRowHeight="14.4" x14ac:dyDescent="0.3"/>
  <cols>
    <col min="4" max="4" width="7.88671875" bestFit="1" customWidth="1"/>
    <col min="5" max="5" width="24.21875" bestFit="1" customWidth="1"/>
    <col min="6" max="6" width="13.88671875" bestFit="1" customWidth="1"/>
    <col min="7" max="7" width="10.109375" bestFit="1" customWidth="1"/>
    <col min="8" max="8" width="6.88671875" bestFit="1" customWidth="1"/>
    <col min="9" max="9" width="17" bestFit="1" customWidth="1"/>
    <col min="10" max="10" width="13.6640625" bestFit="1" customWidth="1"/>
    <col min="11" max="11" width="7.88671875" bestFit="1" customWidth="1"/>
    <col min="12" max="12" width="27.6640625" bestFit="1" customWidth="1"/>
    <col min="13" max="13" width="21.88671875" bestFit="1" customWidth="1"/>
  </cols>
  <sheetData>
    <row r="3" spans="4:13" x14ac:dyDescent="0.3">
      <c r="D3" s="6" t="s">
        <v>67</v>
      </c>
      <c r="E3" s="6"/>
      <c r="F3" s="6"/>
      <c r="G3" s="6"/>
      <c r="H3" s="6"/>
      <c r="I3" s="6"/>
      <c r="J3" s="6"/>
      <c r="K3" s="6"/>
      <c r="L3" s="6"/>
      <c r="M3" s="6"/>
    </row>
    <row r="4" spans="4:13" x14ac:dyDescent="0.3">
      <c r="D4" t="s">
        <v>1</v>
      </c>
      <c r="E4" t="s">
        <v>2</v>
      </c>
      <c r="F4" t="s">
        <v>3</v>
      </c>
      <c r="G4" t="s">
        <v>14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M4" t="s">
        <v>13</v>
      </c>
    </row>
    <row r="5" spans="4:13" x14ac:dyDescent="0.3">
      <c r="D5">
        <v>1</v>
      </c>
      <c r="E5" t="s">
        <v>68</v>
      </c>
      <c r="F5" t="s">
        <v>5</v>
      </c>
      <c r="G5" t="s">
        <v>15</v>
      </c>
      <c r="I5" t="s">
        <v>20</v>
      </c>
      <c r="K5" t="s">
        <v>18</v>
      </c>
    </row>
    <row r="6" spans="4:13" x14ac:dyDescent="0.3">
      <c r="D6">
        <f>D5+1</f>
        <v>2</v>
      </c>
      <c r="E6" t="s">
        <v>69</v>
      </c>
      <c r="F6" t="s">
        <v>7</v>
      </c>
      <c r="H6">
        <v>100</v>
      </c>
      <c r="I6" t="s">
        <v>17</v>
      </c>
      <c r="K6" t="s">
        <v>21</v>
      </c>
      <c r="L6" t="s">
        <v>70</v>
      </c>
      <c r="M6" s="1"/>
    </row>
    <row r="7" spans="4:13" x14ac:dyDescent="0.3">
      <c r="D7">
        <f>D6+1</f>
        <v>3</v>
      </c>
      <c r="E7" t="s">
        <v>71</v>
      </c>
      <c r="F7" t="s">
        <v>7</v>
      </c>
      <c r="H7">
        <v>250</v>
      </c>
      <c r="I7" t="s">
        <v>17</v>
      </c>
      <c r="K7" t="s">
        <v>21</v>
      </c>
      <c r="L7" t="s">
        <v>72</v>
      </c>
    </row>
    <row r="8" spans="4:13" x14ac:dyDescent="0.3">
      <c r="D8">
        <f t="shared" ref="D8:D12" si="0">D7+1</f>
        <v>4</v>
      </c>
      <c r="E8" t="s">
        <v>44</v>
      </c>
      <c r="F8" t="s">
        <v>45</v>
      </c>
      <c r="I8" t="s">
        <v>17</v>
      </c>
      <c r="K8" t="s">
        <v>21</v>
      </c>
      <c r="L8" t="s">
        <v>66</v>
      </c>
      <c r="M8" t="b">
        <v>1</v>
      </c>
    </row>
    <row r="9" spans="4:13" x14ac:dyDescent="0.3">
      <c r="D9">
        <f t="shared" si="0"/>
        <v>5</v>
      </c>
      <c r="E9" t="s">
        <v>33</v>
      </c>
      <c r="F9" t="s">
        <v>5</v>
      </c>
      <c r="G9" t="s">
        <v>30</v>
      </c>
      <c r="I9" t="s">
        <v>17</v>
      </c>
      <c r="J9" t="s">
        <v>35</v>
      </c>
      <c r="K9" t="s">
        <v>21</v>
      </c>
      <c r="L9" t="s">
        <v>36</v>
      </c>
      <c r="M9" t="s">
        <v>32</v>
      </c>
    </row>
    <row r="10" spans="4:13" x14ac:dyDescent="0.3">
      <c r="D10">
        <f t="shared" si="0"/>
        <v>6</v>
      </c>
      <c r="E10" t="s">
        <v>37</v>
      </c>
      <c r="F10" t="s">
        <v>38</v>
      </c>
      <c r="I10" t="s">
        <v>17</v>
      </c>
      <c r="K10" t="s">
        <v>21</v>
      </c>
      <c r="L10" t="s">
        <v>36</v>
      </c>
      <c r="M10" t="s">
        <v>42</v>
      </c>
    </row>
    <row r="11" spans="4:13" x14ac:dyDescent="0.3">
      <c r="D11">
        <f t="shared" si="0"/>
        <v>7</v>
      </c>
      <c r="E11" t="s">
        <v>48</v>
      </c>
      <c r="F11" t="s">
        <v>5</v>
      </c>
      <c r="G11" t="s">
        <v>30</v>
      </c>
      <c r="I11" t="s">
        <v>27</v>
      </c>
      <c r="J11" t="s">
        <v>35</v>
      </c>
      <c r="K11" t="s">
        <v>21</v>
      </c>
      <c r="L11" t="s">
        <v>36</v>
      </c>
    </row>
    <row r="12" spans="4:13" x14ac:dyDescent="0.3">
      <c r="D12">
        <f t="shared" si="0"/>
        <v>8</v>
      </c>
      <c r="E12" t="s">
        <v>49</v>
      </c>
      <c r="F12" t="s">
        <v>41</v>
      </c>
      <c r="I12" t="s">
        <v>27</v>
      </c>
      <c r="L12" t="s">
        <v>36</v>
      </c>
    </row>
  </sheetData>
  <mergeCells count="1">
    <mergeCell ref="D3:M3"/>
  </mergeCells>
  <dataValidations count="2">
    <dataValidation type="list" allowBlank="1" showInputMessage="1" showErrorMessage="1" sqref="K5:K12" xr:uid="{876AB9C3-B528-4E1C-88D1-23C334709536}">
      <formula1>"Yes,No"</formula1>
    </dataValidation>
    <dataValidation type="list" allowBlank="1" showInputMessage="1" showErrorMessage="1" sqref="I5:I12" xr:uid="{12A682DB-D494-4020-9A59-4548014B45DC}">
      <formula1>"AUTO_INCREMENT,*,Nullable"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5BF12-1514-4440-9293-E07F98F9DB3A}">
  <dimension ref="D3:M14"/>
  <sheetViews>
    <sheetView workbookViewId="0">
      <selection activeCell="J7" sqref="J7"/>
    </sheetView>
  </sheetViews>
  <sheetFormatPr defaultRowHeight="14.4" x14ac:dyDescent="0.3"/>
  <cols>
    <col min="4" max="4" width="7.88671875" bestFit="1" customWidth="1"/>
    <col min="5" max="5" width="19" bestFit="1" customWidth="1"/>
    <col min="6" max="6" width="13.88671875" bestFit="1" customWidth="1"/>
    <col min="7" max="7" width="10.109375" bestFit="1" customWidth="1"/>
    <col min="8" max="8" width="6.88671875" bestFit="1" customWidth="1"/>
    <col min="9" max="9" width="17" bestFit="1" customWidth="1"/>
    <col min="10" max="10" width="18.88671875" bestFit="1" customWidth="1"/>
    <col min="11" max="11" width="7.88671875" bestFit="1" customWidth="1"/>
    <col min="12" max="12" width="20.21875" bestFit="1" customWidth="1"/>
    <col min="13" max="13" width="21.88671875" bestFit="1" customWidth="1"/>
  </cols>
  <sheetData>
    <row r="3" spans="4:13" x14ac:dyDescent="0.3">
      <c r="D3" s="6" t="s">
        <v>73</v>
      </c>
      <c r="E3" s="6"/>
      <c r="F3" s="6"/>
      <c r="G3" s="6"/>
      <c r="H3" s="6"/>
      <c r="I3" s="6"/>
      <c r="J3" s="6"/>
      <c r="K3" s="6"/>
      <c r="L3" s="6"/>
      <c r="M3" s="6"/>
    </row>
    <row r="4" spans="4:13" x14ac:dyDescent="0.3">
      <c r="D4" t="s">
        <v>1</v>
      </c>
      <c r="E4" t="s">
        <v>2</v>
      </c>
      <c r="F4" t="s">
        <v>3</v>
      </c>
      <c r="G4" t="s">
        <v>14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M4" t="s">
        <v>13</v>
      </c>
    </row>
    <row r="5" spans="4:13" x14ac:dyDescent="0.3">
      <c r="D5">
        <v>1</v>
      </c>
      <c r="E5" t="s">
        <v>74</v>
      </c>
      <c r="F5" t="s">
        <v>5</v>
      </c>
      <c r="G5" t="s">
        <v>15</v>
      </c>
      <c r="I5" t="s">
        <v>20</v>
      </c>
      <c r="K5" t="s">
        <v>18</v>
      </c>
    </row>
    <row r="6" spans="4:13" x14ac:dyDescent="0.3">
      <c r="D6">
        <f>D5+1</f>
        <v>2</v>
      </c>
      <c r="E6" t="s">
        <v>75</v>
      </c>
      <c r="F6" t="s">
        <v>5</v>
      </c>
      <c r="I6" t="s">
        <v>17</v>
      </c>
      <c r="J6" t="s">
        <v>77</v>
      </c>
      <c r="K6" t="s">
        <v>21</v>
      </c>
      <c r="L6" t="s">
        <v>70</v>
      </c>
      <c r="M6" s="1"/>
    </row>
    <row r="7" spans="4:13" x14ac:dyDescent="0.3">
      <c r="D7">
        <f>D6+1</f>
        <v>3</v>
      </c>
      <c r="E7" t="s">
        <v>76</v>
      </c>
      <c r="F7" t="s">
        <v>5</v>
      </c>
      <c r="I7" t="s">
        <v>17</v>
      </c>
      <c r="J7" t="s">
        <v>77</v>
      </c>
      <c r="K7" t="s">
        <v>21</v>
      </c>
      <c r="L7" t="s">
        <v>72</v>
      </c>
    </row>
    <row r="8" spans="4:13" x14ac:dyDescent="0.3">
      <c r="D8">
        <f t="shared" ref="D8" si="0">D7+1</f>
        <v>4</v>
      </c>
      <c r="E8" t="s">
        <v>44</v>
      </c>
      <c r="F8" t="s">
        <v>45</v>
      </c>
      <c r="I8" t="s">
        <v>17</v>
      </c>
      <c r="K8" t="s">
        <v>21</v>
      </c>
      <c r="L8" t="s">
        <v>66</v>
      </c>
      <c r="M8" t="b">
        <v>1</v>
      </c>
    </row>
    <row r="9" spans="4:13" ht="28.8" x14ac:dyDescent="0.3">
      <c r="D9">
        <f>D8+1</f>
        <v>5</v>
      </c>
      <c r="E9" t="s">
        <v>78</v>
      </c>
      <c r="F9" t="s">
        <v>7</v>
      </c>
      <c r="H9">
        <v>250</v>
      </c>
      <c r="I9" t="s">
        <v>17</v>
      </c>
      <c r="L9" s="7" t="s">
        <v>81</v>
      </c>
    </row>
    <row r="10" spans="4:13" x14ac:dyDescent="0.3">
      <c r="D10">
        <f t="shared" ref="D10:D14" si="1">D9+1</f>
        <v>6</v>
      </c>
      <c r="E10" t="s">
        <v>79</v>
      </c>
      <c r="F10" t="s">
        <v>7</v>
      </c>
      <c r="H10">
        <v>250</v>
      </c>
      <c r="I10" t="s">
        <v>17</v>
      </c>
      <c r="K10" t="s">
        <v>21</v>
      </c>
      <c r="L10" t="s">
        <v>80</v>
      </c>
    </row>
    <row r="11" spans="4:13" x14ac:dyDescent="0.3">
      <c r="D11">
        <f t="shared" si="1"/>
        <v>7</v>
      </c>
      <c r="E11" t="s">
        <v>33</v>
      </c>
      <c r="F11" t="s">
        <v>5</v>
      </c>
      <c r="G11" t="s">
        <v>30</v>
      </c>
      <c r="I11" t="s">
        <v>17</v>
      </c>
      <c r="J11" t="s">
        <v>35</v>
      </c>
      <c r="K11" t="s">
        <v>21</v>
      </c>
      <c r="L11" t="s">
        <v>36</v>
      </c>
      <c r="M11" t="s">
        <v>32</v>
      </c>
    </row>
    <row r="12" spans="4:13" x14ac:dyDescent="0.3">
      <c r="D12">
        <f t="shared" si="1"/>
        <v>8</v>
      </c>
      <c r="E12" t="s">
        <v>37</v>
      </c>
      <c r="F12" t="s">
        <v>38</v>
      </c>
      <c r="I12" t="s">
        <v>17</v>
      </c>
      <c r="K12" t="s">
        <v>21</v>
      </c>
      <c r="L12" t="s">
        <v>36</v>
      </c>
      <c r="M12" t="s">
        <v>42</v>
      </c>
    </row>
    <row r="13" spans="4:13" x14ac:dyDescent="0.3">
      <c r="D13">
        <f t="shared" si="1"/>
        <v>9</v>
      </c>
      <c r="E13" t="s">
        <v>48</v>
      </c>
      <c r="F13" t="s">
        <v>5</v>
      </c>
      <c r="G13" t="s">
        <v>30</v>
      </c>
      <c r="I13" t="s">
        <v>27</v>
      </c>
      <c r="J13" t="s">
        <v>35</v>
      </c>
      <c r="K13" t="s">
        <v>21</v>
      </c>
      <c r="L13" t="s">
        <v>36</v>
      </c>
    </row>
    <row r="14" spans="4:13" x14ac:dyDescent="0.3">
      <c r="D14">
        <f t="shared" si="1"/>
        <v>10</v>
      </c>
      <c r="E14" t="s">
        <v>49</v>
      </c>
      <c r="F14" t="s">
        <v>41</v>
      </c>
      <c r="I14" t="s">
        <v>27</v>
      </c>
      <c r="L14" t="s">
        <v>36</v>
      </c>
    </row>
  </sheetData>
  <mergeCells count="1">
    <mergeCell ref="D3:M3"/>
  </mergeCells>
  <dataValidations count="2">
    <dataValidation type="list" allowBlank="1" showInputMessage="1" showErrorMessage="1" sqref="I5:I14" xr:uid="{82490E46-AE2E-4D7D-A700-9968C1FD5122}">
      <formula1>"AUTO_INCREMENT,*,Nullable"</formula1>
    </dataValidation>
    <dataValidation type="list" allowBlank="1" showInputMessage="1" showErrorMessage="1" sqref="K5:K14" xr:uid="{C36731E9-1A9B-40D7-A9D4-735AE78833DE}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8E4E9-9803-4680-8BE3-02F538AF2E94}">
  <dimension ref="D3:M20"/>
  <sheetViews>
    <sheetView tabSelected="1" workbookViewId="0">
      <selection activeCell="J11" sqref="J11"/>
    </sheetView>
  </sheetViews>
  <sheetFormatPr defaultRowHeight="14.4" x14ac:dyDescent="0.3"/>
  <cols>
    <col min="4" max="4" width="7.88671875" bestFit="1" customWidth="1"/>
    <col min="5" max="5" width="14.77734375" bestFit="1" customWidth="1"/>
    <col min="6" max="6" width="13.88671875" bestFit="1" customWidth="1"/>
    <col min="7" max="7" width="10.109375" bestFit="1" customWidth="1"/>
    <col min="8" max="8" width="6.88671875" bestFit="1" customWidth="1"/>
    <col min="9" max="9" width="17" bestFit="1" customWidth="1"/>
    <col min="10" max="10" width="35.21875" bestFit="1" customWidth="1"/>
    <col min="11" max="11" width="7.88671875" bestFit="1" customWidth="1"/>
    <col min="12" max="12" width="28.77734375" bestFit="1" customWidth="1"/>
    <col min="13" max="13" width="21.88671875" bestFit="1" customWidth="1"/>
  </cols>
  <sheetData>
    <row r="3" spans="4:13" x14ac:dyDescent="0.3">
      <c r="D3" s="6" t="s">
        <v>82</v>
      </c>
      <c r="E3" s="6"/>
      <c r="F3" s="6"/>
      <c r="G3" s="6"/>
      <c r="H3" s="6"/>
      <c r="I3" s="6"/>
      <c r="J3" s="6"/>
      <c r="K3" s="6"/>
      <c r="L3" s="6"/>
      <c r="M3" s="6"/>
    </row>
    <row r="4" spans="4:13" x14ac:dyDescent="0.3">
      <c r="D4" t="s">
        <v>1</v>
      </c>
      <c r="E4" t="s">
        <v>2</v>
      </c>
      <c r="F4" t="s">
        <v>3</v>
      </c>
      <c r="G4" t="s">
        <v>14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M4" t="s">
        <v>13</v>
      </c>
    </row>
    <row r="5" spans="4:13" x14ac:dyDescent="0.3">
      <c r="D5">
        <v>1</v>
      </c>
      <c r="E5" t="s">
        <v>83</v>
      </c>
      <c r="F5" t="s">
        <v>5</v>
      </c>
      <c r="G5" t="s">
        <v>15</v>
      </c>
      <c r="I5" t="s">
        <v>20</v>
      </c>
      <c r="K5" t="s">
        <v>18</v>
      </c>
    </row>
    <row r="6" spans="4:13" x14ac:dyDescent="0.3">
      <c r="D6">
        <f>D5+1</f>
        <v>2</v>
      </c>
      <c r="E6" t="s">
        <v>84</v>
      </c>
      <c r="F6" t="s">
        <v>7</v>
      </c>
      <c r="G6" t="s">
        <v>86</v>
      </c>
      <c r="H6">
        <v>10</v>
      </c>
      <c r="I6" t="s">
        <v>17</v>
      </c>
      <c r="K6" t="s">
        <v>21</v>
      </c>
      <c r="L6" t="s">
        <v>84</v>
      </c>
      <c r="M6" s="1"/>
    </row>
    <row r="7" spans="4:13" x14ac:dyDescent="0.3">
      <c r="D7">
        <f>D6+1</f>
        <v>3</v>
      </c>
      <c r="E7" t="s">
        <v>85</v>
      </c>
      <c r="F7" t="s">
        <v>7</v>
      </c>
      <c r="H7">
        <v>250</v>
      </c>
      <c r="I7" t="s">
        <v>17</v>
      </c>
      <c r="K7" t="s">
        <v>21</v>
      </c>
      <c r="L7" t="s">
        <v>147</v>
      </c>
    </row>
    <row r="8" spans="4:13" x14ac:dyDescent="0.3">
      <c r="D8">
        <f t="shared" ref="D8:D20" si="0">D7+1</f>
        <v>4</v>
      </c>
      <c r="E8" t="s">
        <v>44</v>
      </c>
      <c r="F8" t="s">
        <v>45</v>
      </c>
      <c r="I8" t="s">
        <v>17</v>
      </c>
      <c r="K8" t="s">
        <v>21</v>
      </c>
      <c r="L8" t="s">
        <v>66</v>
      </c>
      <c r="M8" t="b">
        <v>1</v>
      </c>
    </row>
    <row r="9" spans="4:13" x14ac:dyDescent="0.3">
      <c r="D9">
        <f t="shared" si="0"/>
        <v>5</v>
      </c>
      <c r="E9" t="s">
        <v>68</v>
      </c>
      <c r="F9" t="s">
        <v>5</v>
      </c>
      <c r="J9" s="8" t="s">
        <v>99</v>
      </c>
      <c r="K9" t="s">
        <v>21</v>
      </c>
      <c r="L9" t="s">
        <v>70</v>
      </c>
      <c r="M9">
        <v>1</v>
      </c>
    </row>
    <row r="10" spans="4:13" x14ac:dyDescent="0.3">
      <c r="D10">
        <f t="shared" si="0"/>
        <v>6</v>
      </c>
      <c r="E10" t="s">
        <v>87</v>
      </c>
      <c r="F10" t="s">
        <v>45</v>
      </c>
      <c r="I10" t="s">
        <v>17</v>
      </c>
      <c r="K10" t="s">
        <v>21</v>
      </c>
      <c r="L10" t="s">
        <v>94</v>
      </c>
    </row>
    <row r="11" spans="4:13" x14ac:dyDescent="0.3">
      <c r="D11">
        <f t="shared" si="0"/>
        <v>7</v>
      </c>
      <c r="E11" t="s">
        <v>88</v>
      </c>
      <c r="F11" t="s">
        <v>5</v>
      </c>
      <c r="I11" t="s">
        <v>17</v>
      </c>
      <c r="J11" t="s">
        <v>98</v>
      </c>
      <c r="K11" t="s">
        <v>21</v>
      </c>
      <c r="L11" t="s">
        <v>96</v>
      </c>
      <c r="M11">
        <v>1</v>
      </c>
    </row>
    <row r="12" spans="4:13" x14ac:dyDescent="0.3">
      <c r="D12">
        <f t="shared" si="0"/>
        <v>8</v>
      </c>
      <c r="E12" t="s">
        <v>89</v>
      </c>
      <c r="F12" t="s">
        <v>5</v>
      </c>
      <c r="I12" t="s">
        <v>17</v>
      </c>
      <c r="J12" t="s">
        <v>98</v>
      </c>
      <c r="K12" t="s">
        <v>21</v>
      </c>
      <c r="L12" t="s">
        <v>97</v>
      </c>
      <c r="M12">
        <v>1</v>
      </c>
    </row>
    <row r="13" spans="4:13" x14ac:dyDescent="0.3">
      <c r="D13">
        <f t="shared" si="0"/>
        <v>9</v>
      </c>
      <c r="E13" t="s">
        <v>90</v>
      </c>
      <c r="F13" t="s">
        <v>5</v>
      </c>
      <c r="H13">
        <v>2</v>
      </c>
      <c r="I13" t="s">
        <v>17</v>
      </c>
      <c r="K13" t="s">
        <v>21</v>
      </c>
      <c r="L13" t="s">
        <v>101</v>
      </c>
      <c r="M13">
        <v>1</v>
      </c>
    </row>
    <row r="14" spans="4:13" x14ac:dyDescent="0.3">
      <c r="D14">
        <f t="shared" si="0"/>
        <v>10</v>
      </c>
      <c r="E14" t="s">
        <v>91</v>
      </c>
      <c r="F14" t="s">
        <v>5</v>
      </c>
      <c r="H14">
        <v>4</v>
      </c>
      <c r="I14" t="s">
        <v>17</v>
      </c>
      <c r="K14" t="s">
        <v>21</v>
      </c>
      <c r="L14" t="s">
        <v>100</v>
      </c>
      <c r="M14">
        <v>2</v>
      </c>
    </row>
    <row r="15" spans="4:13" x14ac:dyDescent="0.3">
      <c r="D15">
        <f t="shared" si="0"/>
        <v>11</v>
      </c>
      <c r="E15" t="s">
        <v>92</v>
      </c>
      <c r="F15" t="s">
        <v>5</v>
      </c>
      <c r="I15" t="s">
        <v>17</v>
      </c>
      <c r="J15" t="s">
        <v>98</v>
      </c>
      <c r="K15" t="s">
        <v>21</v>
      </c>
      <c r="L15" t="s">
        <v>102</v>
      </c>
      <c r="M15">
        <v>0</v>
      </c>
    </row>
    <row r="16" spans="4:13" x14ac:dyDescent="0.3">
      <c r="D16">
        <f t="shared" si="0"/>
        <v>12</v>
      </c>
      <c r="E16" t="s">
        <v>93</v>
      </c>
      <c r="F16" t="s">
        <v>5</v>
      </c>
      <c r="I16" t="s">
        <v>20</v>
      </c>
      <c r="K16" t="s">
        <v>21</v>
      </c>
    </row>
    <row r="17" spans="4:13" x14ac:dyDescent="0.3">
      <c r="D17">
        <f t="shared" si="0"/>
        <v>13</v>
      </c>
      <c r="E17" s="2" t="s">
        <v>33</v>
      </c>
      <c r="F17" s="2" t="s">
        <v>5</v>
      </c>
      <c r="G17" s="2" t="s">
        <v>30</v>
      </c>
      <c r="H17" s="2"/>
      <c r="I17" s="2" t="s">
        <v>17</v>
      </c>
      <c r="J17" s="2" t="s">
        <v>35</v>
      </c>
      <c r="K17" s="2" t="s">
        <v>21</v>
      </c>
      <c r="L17" s="2" t="s">
        <v>36</v>
      </c>
      <c r="M17" s="3" t="s">
        <v>32</v>
      </c>
    </row>
    <row r="18" spans="4:13" x14ac:dyDescent="0.3">
      <c r="D18">
        <f t="shared" si="0"/>
        <v>14</v>
      </c>
      <c r="E18" s="4" t="s">
        <v>37</v>
      </c>
      <c r="F18" s="4" t="s">
        <v>38</v>
      </c>
      <c r="G18" s="4"/>
      <c r="H18" s="4"/>
      <c r="I18" s="4" t="s">
        <v>17</v>
      </c>
      <c r="J18" s="4"/>
      <c r="K18" s="4" t="s">
        <v>21</v>
      </c>
      <c r="L18" s="4" t="s">
        <v>36</v>
      </c>
      <c r="M18" s="5" t="s">
        <v>42</v>
      </c>
    </row>
    <row r="19" spans="4:13" x14ac:dyDescent="0.3">
      <c r="D19">
        <f t="shared" si="0"/>
        <v>15</v>
      </c>
      <c r="E19" s="2" t="s">
        <v>48</v>
      </c>
      <c r="F19" s="2" t="s">
        <v>5</v>
      </c>
      <c r="G19" s="2" t="s">
        <v>30</v>
      </c>
      <c r="H19" s="2"/>
      <c r="I19" s="2" t="s">
        <v>27</v>
      </c>
      <c r="J19" s="2" t="s">
        <v>35</v>
      </c>
      <c r="K19" s="2" t="s">
        <v>21</v>
      </c>
      <c r="L19" s="2" t="s">
        <v>36</v>
      </c>
      <c r="M19" s="3"/>
    </row>
    <row r="20" spans="4:13" x14ac:dyDescent="0.3">
      <c r="D20">
        <f t="shared" si="0"/>
        <v>16</v>
      </c>
      <c r="E20" s="9" t="s">
        <v>49</v>
      </c>
      <c r="F20" s="9" t="s">
        <v>41</v>
      </c>
      <c r="G20" s="9"/>
      <c r="H20" s="9"/>
      <c r="I20" s="9" t="s">
        <v>27</v>
      </c>
      <c r="J20" s="9"/>
      <c r="K20" s="9"/>
      <c r="L20" s="9" t="s">
        <v>36</v>
      </c>
      <c r="M20" s="10"/>
    </row>
  </sheetData>
  <mergeCells count="1">
    <mergeCell ref="D3:M3"/>
  </mergeCells>
  <dataValidations count="2">
    <dataValidation type="list" allowBlank="1" showInputMessage="1" showErrorMessage="1" sqref="I5:I8 I10:I20" xr:uid="{52F0AE79-E4C9-4B6B-94B6-F486A83E900D}">
      <formula1>"AUTO_INCREMENT,*,Nullable"</formula1>
    </dataValidation>
    <dataValidation type="list" allowBlank="1" showInputMessage="1" showErrorMessage="1" sqref="K5:K8 K10:K20" xr:uid="{0254CD9A-C17D-4FAD-A4F4-5EC1E5DB2AFA}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11299-8347-446F-95AA-6686487D8AFF}">
  <dimension ref="D3:M28"/>
  <sheetViews>
    <sheetView topLeftCell="A4" workbookViewId="0">
      <selection activeCell="J14" sqref="J14"/>
    </sheetView>
  </sheetViews>
  <sheetFormatPr defaultRowHeight="14.4" x14ac:dyDescent="0.3"/>
  <cols>
    <col min="4" max="4" width="7.88671875" bestFit="1" customWidth="1"/>
    <col min="5" max="5" width="19.6640625" bestFit="1" customWidth="1"/>
    <col min="6" max="6" width="13.88671875" bestFit="1" customWidth="1"/>
    <col min="7" max="7" width="10.109375" bestFit="1" customWidth="1"/>
    <col min="8" max="8" width="11.33203125" customWidth="1"/>
    <col min="9" max="9" width="17" bestFit="1" customWidth="1"/>
    <col min="10" max="10" width="35.21875" bestFit="1" customWidth="1"/>
    <col min="11" max="11" width="7.88671875" bestFit="1" customWidth="1"/>
    <col min="12" max="12" width="28.77734375" bestFit="1" customWidth="1"/>
    <col min="13" max="13" width="21.88671875" bestFit="1" customWidth="1"/>
  </cols>
  <sheetData>
    <row r="3" spans="4:13" x14ac:dyDescent="0.3">
      <c r="D3" s="6" t="s">
        <v>144</v>
      </c>
      <c r="E3" s="6"/>
      <c r="F3" s="6"/>
      <c r="G3" s="6"/>
      <c r="H3" s="6"/>
      <c r="I3" s="6"/>
      <c r="J3" s="6"/>
      <c r="K3" s="6"/>
      <c r="L3" s="6"/>
      <c r="M3" s="6"/>
    </row>
    <row r="4" spans="4:13" x14ac:dyDescent="0.3">
      <c r="D4" t="s">
        <v>1</v>
      </c>
      <c r="E4" t="s">
        <v>2</v>
      </c>
      <c r="F4" t="s">
        <v>3</v>
      </c>
      <c r="G4" t="s">
        <v>14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M4" t="s">
        <v>13</v>
      </c>
    </row>
    <row r="5" spans="4:13" x14ac:dyDescent="0.3">
      <c r="D5">
        <v>1</v>
      </c>
      <c r="E5" t="s">
        <v>145</v>
      </c>
      <c r="F5" t="s">
        <v>5</v>
      </c>
      <c r="G5" t="s">
        <v>15</v>
      </c>
      <c r="I5" t="s">
        <v>20</v>
      </c>
      <c r="K5" t="s">
        <v>18</v>
      </c>
    </row>
    <row r="6" spans="4:13" x14ac:dyDescent="0.3">
      <c r="D6">
        <f>D5+1</f>
        <v>2</v>
      </c>
      <c r="E6" t="s">
        <v>83</v>
      </c>
      <c r="F6" t="s">
        <v>5</v>
      </c>
      <c r="J6" t="s">
        <v>171</v>
      </c>
      <c r="K6" t="s">
        <v>18</v>
      </c>
      <c r="L6" t="s">
        <v>146</v>
      </c>
      <c r="M6" s="1"/>
    </row>
    <row r="7" spans="4:13" x14ac:dyDescent="0.3">
      <c r="D7">
        <f>D6+1</f>
        <v>3</v>
      </c>
      <c r="E7" t="s">
        <v>148</v>
      </c>
      <c r="F7" t="s">
        <v>5</v>
      </c>
      <c r="G7" t="s">
        <v>10</v>
      </c>
      <c r="H7">
        <v>9</v>
      </c>
      <c r="I7" t="s">
        <v>17</v>
      </c>
      <c r="J7" t="s">
        <v>98</v>
      </c>
      <c r="K7" t="s">
        <v>21</v>
      </c>
      <c r="L7" t="s">
        <v>172</v>
      </c>
      <c r="M7">
        <v>1</v>
      </c>
    </row>
    <row r="8" spans="4:13" x14ac:dyDescent="0.3">
      <c r="D8">
        <f t="shared" ref="D8:D20" si="0">D7+1</f>
        <v>4</v>
      </c>
      <c r="E8" t="s">
        <v>149</v>
      </c>
      <c r="F8" t="s">
        <v>5</v>
      </c>
      <c r="G8" t="s">
        <v>10</v>
      </c>
      <c r="H8">
        <v>9</v>
      </c>
      <c r="J8" t="s">
        <v>98</v>
      </c>
      <c r="K8" t="s">
        <v>21</v>
      </c>
      <c r="L8" t="s">
        <v>173</v>
      </c>
      <c r="M8">
        <v>0</v>
      </c>
    </row>
    <row r="9" spans="4:13" x14ac:dyDescent="0.3">
      <c r="D9">
        <f t="shared" si="0"/>
        <v>5</v>
      </c>
      <c r="E9" t="s">
        <v>153</v>
      </c>
      <c r="F9" t="s">
        <v>45</v>
      </c>
      <c r="K9" t="s">
        <v>21</v>
      </c>
      <c r="L9" t="s">
        <v>174</v>
      </c>
      <c r="M9">
        <v>0</v>
      </c>
    </row>
    <row r="10" spans="4:13" x14ac:dyDescent="0.3">
      <c r="D10">
        <f>D9+1</f>
        <v>6</v>
      </c>
      <c r="E10" s="12" t="s">
        <v>160</v>
      </c>
      <c r="F10" t="s">
        <v>45</v>
      </c>
      <c r="K10" t="s">
        <v>21</v>
      </c>
      <c r="L10" t="s">
        <v>175</v>
      </c>
      <c r="M10">
        <v>0</v>
      </c>
    </row>
    <row r="11" spans="4:13" x14ac:dyDescent="0.3">
      <c r="D11">
        <f t="shared" ref="D11:D20" si="1">D10+1</f>
        <v>7</v>
      </c>
      <c r="E11" t="s">
        <v>151</v>
      </c>
      <c r="F11" t="s">
        <v>193</v>
      </c>
      <c r="K11" t="s">
        <v>21</v>
      </c>
      <c r="L11" t="s">
        <v>176</v>
      </c>
      <c r="M11">
        <v>0</v>
      </c>
    </row>
    <row r="12" spans="4:13" x14ac:dyDescent="0.3">
      <c r="D12">
        <f t="shared" si="1"/>
        <v>8</v>
      </c>
      <c r="E12" t="s">
        <v>152</v>
      </c>
      <c r="F12" t="s">
        <v>193</v>
      </c>
      <c r="K12" t="s">
        <v>21</v>
      </c>
      <c r="L12" t="s">
        <v>177</v>
      </c>
      <c r="M12">
        <v>0</v>
      </c>
    </row>
    <row r="13" spans="4:13" x14ac:dyDescent="0.3">
      <c r="D13">
        <f t="shared" si="1"/>
        <v>9</v>
      </c>
      <c r="E13" t="s">
        <v>154</v>
      </c>
      <c r="F13" t="s">
        <v>192</v>
      </c>
      <c r="K13" t="s">
        <v>21</v>
      </c>
      <c r="L13" t="s">
        <v>178</v>
      </c>
      <c r="M13">
        <v>15</v>
      </c>
    </row>
    <row r="14" spans="4:13" x14ac:dyDescent="0.3">
      <c r="D14">
        <f t="shared" si="1"/>
        <v>10</v>
      </c>
      <c r="E14" t="s">
        <v>155</v>
      </c>
      <c r="F14" t="s">
        <v>5</v>
      </c>
      <c r="K14" t="s">
        <v>21</v>
      </c>
      <c r="L14" t="s">
        <v>179</v>
      </c>
      <c r="M14">
        <v>15</v>
      </c>
    </row>
    <row r="15" spans="4:13" x14ac:dyDescent="0.3">
      <c r="D15">
        <f t="shared" si="1"/>
        <v>11</v>
      </c>
      <c r="E15" t="s">
        <v>156</v>
      </c>
      <c r="F15" t="s">
        <v>193</v>
      </c>
      <c r="K15" t="s">
        <v>21</v>
      </c>
      <c r="L15" t="s">
        <v>180</v>
      </c>
      <c r="M15">
        <v>1</v>
      </c>
    </row>
    <row r="16" spans="4:13" x14ac:dyDescent="0.3">
      <c r="D16">
        <f t="shared" si="1"/>
        <v>12</v>
      </c>
      <c r="E16" t="s">
        <v>157</v>
      </c>
      <c r="F16" t="s">
        <v>193</v>
      </c>
      <c r="K16" t="s">
        <v>21</v>
      </c>
      <c r="L16" t="s">
        <v>180</v>
      </c>
      <c r="M16">
        <v>0</v>
      </c>
    </row>
    <row r="17" spans="4:13" x14ac:dyDescent="0.3">
      <c r="D17">
        <f t="shared" si="1"/>
        <v>13</v>
      </c>
      <c r="E17" s="2" t="s">
        <v>158</v>
      </c>
      <c r="F17" s="2" t="s">
        <v>5</v>
      </c>
      <c r="G17" s="2"/>
      <c r="H17" s="2">
        <v>350</v>
      </c>
      <c r="J17" s="2"/>
      <c r="K17" t="s">
        <v>21</v>
      </c>
      <c r="L17" t="s">
        <v>181</v>
      </c>
      <c r="M17" s="3">
        <v>300</v>
      </c>
    </row>
    <row r="18" spans="4:13" x14ac:dyDescent="0.3">
      <c r="D18">
        <f t="shared" si="1"/>
        <v>14</v>
      </c>
      <c r="E18" s="4" t="s">
        <v>159</v>
      </c>
      <c r="F18" s="4" t="s">
        <v>5</v>
      </c>
      <c r="G18" s="4"/>
      <c r="H18" s="4">
        <v>150</v>
      </c>
      <c r="J18" s="4"/>
      <c r="K18" t="s">
        <v>21</v>
      </c>
      <c r="L18" t="s">
        <v>182</v>
      </c>
      <c r="M18" s="5">
        <v>0</v>
      </c>
    </row>
    <row r="19" spans="4:13" x14ac:dyDescent="0.3">
      <c r="D19">
        <f t="shared" si="1"/>
        <v>15</v>
      </c>
      <c r="E19" s="2" t="s">
        <v>161</v>
      </c>
      <c r="F19" s="2" t="s">
        <v>5</v>
      </c>
      <c r="G19" s="2"/>
      <c r="H19" s="2">
        <v>200</v>
      </c>
      <c r="J19" s="2"/>
      <c r="K19" t="s">
        <v>21</v>
      </c>
      <c r="L19" t="s">
        <v>183</v>
      </c>
      <c r="M19" s="3">
        <v>0</v>
      </c>
    </row>
    <row r="20" spans="4:13" x14ac:dyDescent="0.3">
      <c r="D20">
        <f t="shared" si="1"/>
        <v>16</v>
      </c>
      <c r="E20" s="9" t="s">
        <v>162</v>
      </c>
      <c r="F20" s="9" t="s">
        <v>193</v>
      </c>
      <c r="G20" s="9"/>
      <c r="H20" s="9">
        <v>100</v>
      </c>
      <c r="J20" s="9"/>
      <c r="K20" t="s">
        <v>21</v>
      </c>
      <c r="L20" t="s">
        <v>184</v>
      </c>
      <c r="M20" s="10">
        <v>3</v>
      </c>
    </row>
    <row r="21" spans="4:13" x14ac:dyDescent="0.3">
      <c r="D21">
        <f>D20+1</f>
        <v>17</v>
      </c>
      <c r="E21" t="s">
        <v>163</v>
      </c>
      <c r="F21" t="s">
        <v>193</v>
      </c>
      <c r="H21">
        <v>100</v>
      </c>
      <c r="K21" t="s">
        <v>21</v>
      </c>
      <c r="L21" t="s">
        <v>185</v>
      </c>
      <c r="M21">
        <v>3</v>
      </c>
    </row>
    <row r="22" spans="4:13" x14ac:dyDescent="0.3">
      <c r="D22">
        <f>D21+1</f>
        <v>18</v>
      </c>
      <c r="E22" t="s">
        <v>164</v>
      </c>
      <c r="F22" t="s">
        <v>193</v>
      </c>
      <c r="H22">
        <v>100</v>
      </c>
      <c r="K22" t="s">
        <v>21</v>
      </c>
      <c r="L22" t="s">
        <v>186</v>
      </c>
      <c r="M22">
        <v>1</v>
      </c>
    </row>
    <row r="23" spans="4:13" ht="43.2" x14ac:dyDescent="0.3">
      <c r="D23">
        <f>D22+1</f>
        <v>19</v>
      </c>
      <c r="E23" t="s">
        <v>165</v>
      </c>
      <c r="F23" t="s">
        <v>192</v>
      </c>
      <c r="H23" s="7" t="s">
        <v>195</v>
      </c>
      <c r="K23" t="s">
        <v>21</v>
      </c>
      <c r="L23" t="s">
        <v>187</v>
      </c>
      <c r="M23">
        <v>1</v>
      </c>
    </row>
    <row r="24" spans="4:13" x14ac:dyDescent="0.3">
      <c r="D24">
        <f>D23+1</f>
        <v>20</v>
      </c>
      <c r="E24" t="s">
        <v>166</v>
      </c>
      <c r="F24" t="s">
        <v>5</v>
      </c>
      <c r="G24" t="s">
        <v>10</v>
      </c>
      <c r="H24">
        <v>3</v>
      </c>
      <c r="J24" t="s">
        <v>98</v>
      </c>
      <c r="K24" t="s">
        <v>21</v>
      </c>
      <c r="L24" t="s">
        <v>188</v>
      </c>
      <c r="M24">
        <v>2</v>
      </c>
    </row>
    <row r="25" spans="4:13" x14ac:dyDescent="0.3">
      <c r="D25">
        <f>D24+1</f>
        <v>21</v>
      </c>
      <c r="E25" t="s">
        <v>167</v>
      </c>
      <c r="F25" t="s">
        <v>5</v>
      </c>
      <c r="G25" t="s">
        <v>10</v>
      </c>
      <c r="H25">
        <v>3</v>
      </c>
      <c r="J25" t="s">
        <v>98</v>
      </c>
      <c r="K25" t="s">
        <v>21</v>
      </c>
      <c r="L25" t="s">
        <v>188</v>
      </c>
      <c r="M25">
        <v>2</v>
      </c>
    </row>
    <row r="26" spans="4:13" x14ac:dyDescent="0.3">
      <c r="D26">
        <f>D25+1</f>
        <v>22</v>
      </c>
      <c r="E26" t="s">
        <v>168</v>
      </c>
      <c r="F26" t="s">
        <v>194</v>
      </c>
      <c r="H26">
        <v>4</v>
      </c>
      <c r="K26" t="s">
        <v>21</v>
      </c>
      <c r="L26" t="s">
        <v>189</v>
      </c>
      <c r="M26">
        <v>0</v>
      </c>
    </row>
    <row r="27" spans="4:13" x14ac:dyDescent="0.3">
      <c r="D27">
        <f>D26+1</f>
        <v>23</v>
      </c>
      <c r="E27" t="s">
        <v>169</v>
      </c>
      <c r="F27" t="s">
        <v>194</v>
      </c>
      <c r="H27">
        <v>4</v>
      </c>
      <c r="K27" t="s">
        <v>21</v>
      </c>
      <c r="L27" t="s">
        <v>190</v>
      </c>
      <c r="M27">
        <v>0</v>
      </c>
    </row>
    <row r="28" spans="4:13" x14ac:dyDescent="0.3">
      <c r="D28">
        <f>D27+1</f>
        <v>24</v>
      </c>
      <c r="E28" t="s">
        <v>170</v>
      </c>
      <c r="F28" t="s">
        <v>193</v>
      </c>
      <c r="H28">
        <v>4</v>
      </c>
      <c r="K28" t="s">
        <v>21</v>
      </c>
      <c r="L28" t="s">
        <v>191</v>
      </c>
      <c r="M28">
        <v>0</v>
      </c>
    </row>
  </sheetData>
  <mergeCells count="1">
    <mergeCell ref="D3:M3"/>
  </mergeCells>
  <dataValidations count="2">
    <dataValidation type="list" allowBlank="1" showInputMessage="1" showErrorMessage="1" sqref="K5:K28" xr:uid="{46C18B65-9D2B-4996-ADA9-BDC5302BA55A}">
      <formula1>"Yes,No"</formula1>
    </dataValidation>
    <dataValidation type="list" allowBlank="1" showInputMessage="1" showErrorMessage="1" sqref="I5:I28" xr:uid="{1572A5F3-A8A7-4D9A-BAF3-070B4FFFC747}">
      <formula1>"AUTO_INCREMENT,*,Nullable"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3831BDEF3B9E4AB0AA7239E4034D37" ma:contentTypeVersion="11" ma:contentTypeDescription="Create a new document." ma:contentTypeScope="" ma:versionID="ac829c8ee1ab323719674b22bc2a55b2">
  <xsd:schema xmlns:xsd="http://www.w3.org/2001/XMLSchema" xmlns:xs="http://www.w3.org/2001/XMLSchema" xmlns:p="http://schemas.microsoft.com/office/2006/metadata/properties" xmlns:ns3="56641843-60ff-4343-a7f7-9d6e83521bf9" targetNamespace="http://schemas.microsoft.com/office/2006/metadata/properties" ma:root="true" ma:fieldsID="514cd94ed1430844d876888086fd0b1b" ns3:_="">
    <xsd:import namespace="56641843-60ff-4343-a7f7-9d6e83521bf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641843-60ff-4343-a7f7-9d6e83521bf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6641843-60ff-4343-a7f7-9d6e83521bf9" xsi:nil="true"/>
  </documentManagement>
</p:properties>
</file>

<file path=customXml/itemProps1.xml><?xml version="1.0" encoding="utf-8"?>
<ds:datastoreItem xmlns:ds="http://schemas.openxmlformats.org/officeDocument/2006/customXml" ds:itemID="{9A7C2F03-026E-4220-8522-2C5CE7B935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641843-60ff-4343-a7f7-9d6e83521b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9C9B253-65EE-4D6C-8E83-51CD1F6252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50454C5-1209-44DC-8FF8-89051DCF423C}">
  <ds:schemaRefs>
    <ds:schemaRef ds:uri="http://schemas.microsoft.com/office/2006/metadata/properties"/>
    <ds:schemaRef ds:uri="http://purl.org/dc/terms/"/>
    <ds:schemaRef ds:uri="http://purl.org/dc/dcmitype/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56641843-60ff-4343-a7f7-9d6e83521bf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TblUser</vt:lpstr>
      <vt:lpstr>TblDictionary</vt:lpstr>
      <vt:lpstr>TblDictionaryValues</vt:lpstr>
      <vt:lpstr>TblUnit</vt:lpstr>
      <vt:lpstr>TblUnitConversion</vt:lpstr>
      <vt:lpstr>TblTestMaster</vt:lpstr>
      <vt:lpstr>TblTestDetails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Mihir</dc:creator>
  <cp:lastModifiedBy>Mihir</cp:lastModifiedBy>
  <dcterms:created xsi:type="dcterms:W3CDTF">2026-03-24T04:10:26Z</dcterms:created>
  <dcterms:modified xsi:type="dcterms:W3CDTF">2026-03-24T06:51:41Z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0x0101008B3831BDEF3B9E4AB0AA7239E4034D37</vt:lpwstr>
  </property>
</Properties>
</file>